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defaultThemeVersion="153222"/>
  <mc:AlternateContent xmlns:mc="http://schemas.openxmlformats.org/markup-compatibility/2006">
    <mc:Choice Requires="x15">
      <x15ac:absPath xmlns:x15ac="http://schemas.microsoft.com/office/spreadsheetml/2010/11/ac" url="D:\Lime\Projects\LMS8001\svn\PCB\LimeRFE_1v31\Software\FW\"/>
    </mc:Choice>
  </mc:AlternateContent>
  <bookViews>
    <workbookView xWindow="0" yWindow="0" windowWidth="16380" windowHeight="8190" tabRatio="500"/>
  </bookViews>
  <sheets>
    <sheet name="main" sheetId="1" r:id="rId1"/>
    <sheet name="SKYA21003" sheetId="2" r:id="rId2"/>
    <sheet name="SKY13414-485LF" sheetId="3" r:id="rId3"/>
    <sheet name="SKY13415-485LF" sheetId="4" r:id="rId4"/>
    <sheet name="SKY13416-485LF" sheetId="5" r:id="rId5"/>
    <sheet name="SKY13418-485LF" sheetId="6" r:id="rId6"/>
    <sheet name="HMC544AE" sheetId="7" r:id="rId7"/>
    <sheet name="MASW-008566-TR3000" sheetId="8" r:id="rId8"/>
    <sheet name="Tables" sheetId="9" r:id="rId9"/>
  </sheets>
  <calcPr calcId="152511" iterateDelta="1E-4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F91" i="1" l="1"/>
  <c r="F90" i="1" s="1"/>
  <c r="F89" i="1" s="1"/>
  <c r="E90" i="1"/>
  <c r="E89" i="1" s="1"/>
  <c r="F88" i="1"/>
  <c r="F87" i="1"/>
  <c r="F86" i="1" s="1"/>
  <c r="F85" i="1" s="1"/>
  <c r="F84" i="1" s="1"/>
  <c r="F83" i="1" s="1"/>
  <c r="F82" i="1" s="1"/>
  <c r="F81" i="1" s="1"/>
  <c r="F80" i="1" s="1"/>
  <c r="F79" i="1" s="1"/>
  <c r="F78" i="1" s="1"/>
  <c r="F77" i="1" s="1"/>
  <c r="F76" i="1" s="1"/>
  <c r="F75" i="1" s="1"/>
  <c r="F74" i="1" s="1"/>
  <c r="F73" i="1" s="1"/>
  <c r="F72" i="1" s="1"/>
  <c r="F71" i="1" s="1"/>
  <c r="F70" i="1" s="1"/>
  <c r="F69" i="1" s="1"/>
  <c r="F68" i="1" s="1"/>
  <c r="F67" i="1" s="1"/>
  <c r="F66" i="1" s="1"/>
  <c r="F65" i="1" s="1"/>
  <c r="F64" i="1" s="1"/>
  <c r="F63" i="1" s="1"/>
  <c r="F62" i="1" s="1"/>
  <c r="F61" i="1" s="1"/>
  <c r="F60" i="1" s="1"/>
  <c r="F59" i="1" s="1"/>
  <c r="F58" i="1" s="1"/>
  <c r="F57" i="1" s="1"/>
  <c r="F56" i="1" s="1"/>
  <c r="F55" i="1" s="1"/>
  <c r="F54" i="1" s="1"/>
  <c r="F53" i="1" s="1"/>
  <c r="F52" i="1" s="1"/>
  <c r="F51" i="1" s="1"/>
  <c r="F50" i="1" s="1"/>
  <c r="F49" i="1" s="1"/>
  <c r="F48" i="1" s="1"/>
  <c r="F47" i="1" s="1"/>
  <c r="F46" i="1" s="1"/>
  <c r="F45" i="1" s="1"/>
  <c r="F44" i="1" s="1"/>
  <c r="F43" i="1" s="1"/>
  <c r="F42" i="1" s="1"/>
  <c r="F41" i="1" s="1"/>
  <c r="F40" i="1" s="1"/>
  <c r="F39" i="1" s="1"/>
  <c r="F38" i="1" s="1"/>
  <c r="F37" i="1" s="1"/>
  <c r="F36" i="1" s="1"/>
  <c r="F35" i="1" s="1"/>
  <c r="F34" i="1" s="1"/>
  <c r="F33" i="1" s="1"/>
  <c r="F32" i="1" s="1"/>
  <c r="F31" i="1" s="1"/>
  <c r="F30" i="1" s="1"/>
  <c r="F29" i="1" s="1"/>
  <c r="F28" i="1" s="1"/>
  <c r="F27" i="1" s="1"/>
  <c r="F26" i="1" s="1"/>
  <c r="F25" i="1" s="1"/>
  <c r="F24" i="1" s="1"/>
  <c r="F23" i="1" s="1"/>
  <c r="F22" i="1" s="1"/>
  <c r="F21" i="1" s="1"/>
  <c r="F20" i="1" s="1"/>
  <c r="F19" i="1" s="1"/>
  <c r="F18" i="1" s="1"/>
  <c r="F17" i="1" s="1"/>
  <c r="F16" i="1" s="1"/>
  <c r="F15" i="1" s="1"/>
  <c r="F14" i="1" s="1"/>
  <c r="F13" i="1" s="1"/>
  <c r="F12" i="1" s="1"/>
  <c r="F11" i="1" s="1"/>
  <c r="F10" i="1" s="1"/>
  <c r="F9" i="1" s="1"/>
  <c r="F8" i="1" s="1"/>
  <c r="F7" i="1" s="1"/>
  <c r="F6" i="1" s="1"/>
  <c r="F5" i="1" s="1"/>
  <c r="F4" i="1" s="1"/>
  <c r="G5" i="1"/>
  <c r="G6" i="1" s="1"/>
  <c r="G7" i="1" s="1"/>
  <c r="G8" i="1" s="1"/>
  <c r="G9" i="1" s="1"/>
  <c r="G10" i="1" s="1"/>
  <c r="G11" i="1" s="1"/>
  <c r="G12" i="1" s="1"/>
  <c r="G13" i="1" s="1"/>
  <c r="G14" i="1" s="1"/>
  <c r="G15" i="1" s="1"/>
  <c r="G16" i="1" s="1"/>
  <c r="G17" i="1" s="1"/>
  <c r="G18" i="1" s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G33" i="1" s="1"/>
  <c r="G34" i="1" s="1"/>
  <c r="G35" i="1" s="1"/>
  <c r="G36" i="1" s="1"/>
  <c r="G37" i="1" s="1"/>
  <c r="G38" i="1" s="1"/>
  <c r="G39" i="1" s="1"/>
  <c r="G40" i="1" s="1"/>
  <c r="G41" i="1" s="1"/>
  <c r="G42" i="1" s="1"/>
  <c r="G43" i="1" s="1"/>
  <c r="G44" i="1" s="1"/>
  <c r="G45" i="1" s="1"/>
  <c r="G46" i="1" s="1"/>
  <c r="G47" i="1" s="1"/>
  <c r="G48" i="1" s="1"/>
  <c r="G49" i="1" s="1"/>
  <c r="G50" i="1" s="1"/>
  <c r="G51" i="1" s="1"/>
  <c r="G52" i="1" s="1"/>
  <c r="G53" i="1" s="1"/>
  <c r="G54" i="1" s="1"/>
  <c r="G55" i="1" s="1"/>
  <c r="G56" i="1" s="1"/>
  <c r="G57" i="1" s="1"/>
  <c r="G58" i="1" s="1"/>
  <c r="G59" i="1" s="1"/>
  <c r="G60" i="1" s="1"/>
  <c r="G61" i="1" s="1"/>
  <c r="G62" i="1" s="1"/>
  <c r="G63" i="1" s="1"/>
  <c r="G64" i="1" s="1"/>
  <c r="G65" i="1" s="1"/>
  <c r="G66" i="1" s="1"/>
  <c r="G67" i="1" s="1"/>
  <c r="G68" i="1" s="1"/>
  <c r="G69" i="1" s="1"/>
  <c r="G70" i="1" s="1"/>
  <c r="G71" i="1" s="1"/>
  <c r="G72" i="1" s="1"/>
  <c r="G73" i="1" s="1"/>
  <c r="G74" i="1" s="1"/>
  <c r="G75" i="1" s="1"/>
  <c r="G76" i="1" s="1"/>
  <c r="G77" i="1" s="1"/>
  <c r="G78" i="1" s="1"/>
  <c r="G79" i="1" s="1"/>
  <c r="G80" i="1" s="1"/>
  <c r="G81" i="1" s="1"/>
  <c r="G82" i="1" s="1"/>
  <c r="G83" i="1" s="1"/>
  <c r="G84" i="1" s="1"/>
  <c r="G85" i="1" s="1"/>
  <c r="G86" i="1" s="1"/>
  <c r="G87" i="1" s="1"/>
  <c r="G88" i="1" s="1"/>
  <c r="G89" i="1" s="1"/>
  <c r="G90" i="1" s="1"/>
  <c r="G91" i="1" s="1"/>
  <c r="G4" i="1"/>
  <c r="E88" i="1" l="1"/>
  <c r="E87" i="1" l="1"/>
  <c r="E86" i="1" l="1"/>
  <c r="E85" i="1" l="1"/>
  <c r="E84" i="1" l="1"/>
  <c r="E83" i="1" l="1"/>
  <c r="E82" i="1" l="1"/>
  <c r="E81" i="1" l="1"/>
  <c r="E80" i="1" l="1"/>
  <c r="E79" i="1" l="1"/>
  <c r="E78" i="1" l="1"/>
  <c r="E77" i="1" l="1"/>
  <c r="E76" i="1" l="1"/>
  <c r="E75" i="1" l="1"/>
  <c r="E74" i="1" l="1"/>
  <c r="E73" i="1" l="1"/>
  <c r="E72" i="1" l="1"/>
  <c r="E71" i="1" l="1"/>
  <c r="E70" i="1" l="1"/>
  <c r="E69" i="1" l="1"/>
  <c r="E68" i="1" l="1"/>
  <c r="E67" i="1" l="1"/>
  <c r="E66" i="1" l="1"/>
  <c r="E65" i="1" l="1"/>
  <c r="E64" i="1" l="1"/>
  <c r="E63" i="1" l="1"/>
  <c r="E62" i="1" l="1"/>
  <c r="E61" i="1" l="1"/>
  <c r="E60" i="1" l="1"/>
  <c r="E59" i="1" l="1"/>
  <c r="E58" i="1" l="1"/>
  <c r="E57" i="1" l="1"/>
  <c r="E56" i="1" l="1"/>
  <c r="E55" i="1" l="1"/>
  <c r="E54" i="1" l="1"/>
  <c r="E53" i="1" l="1"/>
  <c r="E52" i="1" l="1"/>
  <c r="E51" i="1" l="1"/>
  <c r="E50" i="1" l="1"/>
  <c r="E49" i="1" l="1"/>
  <c r="E48" i="1" l="1"/>
  <c r="E47" i="1" l="1"/>
  <c r="E46" i="1" l="1"/>
  <c r="E45" i="1" l="1"/>
  <c r="E44" i="1" l="1"/>
  <c r="E43" i="1" l="1"/>
  <c r="E42" i="1" l="1"/>
  <c r="E41" i="1" l="1"/>
  <c r="E40" i="1" l="1"/>
  <c r="E39" i="1" l="1"/>
  <c r="E38" i="1" l="1"/>
  <c r="E37" i="1" l="1"/>
  <c r="E36" i="1" l="1"/>
  <c r="E35" i="1" l="1"/>
  <c r="E34" i="1" l="1"/>
  <c r="E33" i="1" l="1"/>
  <c r="E32" i="1" l="1"/>
  <c r="E31" i="1" l="1"/>
  <c r="E30" i="1" l="1"/>
  <c r="E29" i="1" l="1"/>
  <c r="E28" i="1" l="1"/>
  <c r="E27" i="1" l="1"/>
  <c r="E26" i="1" l="1"/>
  <c r="E25" i="1" l="1"/>
  <c r="E24" i="1" l="1"/>
  <c r="E23" i="1" l="1"/>
  <c r="E22" i="1" l="1"/>
  <c r="E21" i="1" l="1"/>
  <c r="E20" i="1" l="1"/>
  <c r="E19" i="1" l="1"/>
  <c r="E18" i="1" l="1"/>
  <c r="E17" i="1" l="1"/>
  <c r="E16" i="1" l="1"/>
  <c r="E15" i="1" l="1"/>
  <c r="E14" i="1" l="1"/>
  <c r="E13" i="1" l="1"/>
  <c r="E12" i="1" l="1"/>
  <c r="E11" i="1" l="1"/>
  <c r="E10" i="1" s="1"/>
  <c r="E9" i="1" s="1"/>
  <c r="E8" i="1" s="1"/>
  <c r="E7" i="1" s="1"/>
  <c r="E6" i="1" s="1"/>
  <c r="E5" i="1" s="1"/>
  <c r="E4" i="1" s="1"/>
</calcChain>
</file>

<file path=xl/sharedStrings.xml><?xml version="1.0" encoding="utf-8"?>
<sst xmlns="http://schemas.openxmlformats.org/spreadsheetml/2006/main" count="836" uniqueCount="378">
  <si>
    <t>&lt;- This is X</t>
  </si>
  <si>
    <t>&lt;- This is NC</t>
  </si>
  <si>
    <t>Sch.</t>
  </si>
  <si>
    <t>Reg.</t>
  </si>
  <si>
    <t>Name</t>
  </si>
  <si>
    <t>Byte</t>
  </si>
  <si>
    <t>Pos.</t>
  </si>
  <si>
    <t>No.</t>
  </si>
  <si>
    <t>ID</t>
  </si>
  <si>
    <t>Separate</t>
  </si>
  <si>
    <t>HAM_WB1</t>
  </si>
  <si>
    <t>HAM_WB2</t>
  </si>
  <si>
    <t>HAM_0030</t>
  </si>
  <si>
    <t>HAM_0070</t>
  </si>
  <si>
    <t>HAM_0145</t>
  </si>
  <si>
    <t>HAM_0220</t>
  </si>
  <si>
    <t>HAM_0435</t>
  </si>
  <si>
    <t>HAM_0920</t>
  </si>
  <si>
    <t>HAM_1280</t>
  </si>
  <si>
    <t>HAM_2400</t>
  </si>
  <si>
    <t>HAM_3500</t>
  </si>
  <si>
    <t>Cell_B01</t>
  </si>
  <si>
    <t>Cell_B02</t>
  </si>
  <si>
    <t>Cell_B03</t>
  </si>
  <si>
    <t>Cell_B07</t>
  </si>
  <si>
    <t>Cell_B38</t>
  </si>
  <si>
    <t>Default</t>
  </si>
  <si>
    <t>TX_MASK</t>
  </si>
  <si>
    <t>Comment</t>
  </si>
  <si>
    <t>Control</t>
  </si>
  <si>
    <t>Root</t>
  </si>
  <si>
    <t>U116</t>
  </si>
  <si>
    <t>ATTEN0_2V5</t>
  </si>
  <si>
    <t>YES</t>
  </si>
  <si>
    <t>ATTEN1_2V5</t>
  </si>
  <si>
    <t>ATTEN2_2V5</t>
  </si>
  <si>
    <t>SWR_SW_A_2V5</t>
  </si>
  <si>
    <t>SWR_SQ_A_2V5 = 0 for HAM (Ext. coupler); SWR_SQ_A_2V5 = 1 for Cell</t>
  </si>
  <si>
    <t>SW4_V3_3V5</t>
  </si>
  <si>
    <t>SKY13414-485LF: U5</t>
  </si>
  <si>
    <t>SW4_V2_3V5</t>
  </si>
  <si>
    <t>SW3_2V5</t>
  </si>
  <si>
    <t>HMC544AE: U2</t>
  </si>
  <si>
    <t>SW1_2V5</t>
  </si>
  <si>
    <t>HMC544AE: U3</t>
  </si>
  <si>
    <t>U117</t>
  </si>
  <si>
    <t>SW2_V1_2V5</t>
  </si>
  <si>
    <t>SKY13416-485LF: U4</t>
  </si>
  <si>
    <t>SW2_V2_2V5</t>
  </si>
  <si>
    <t>SW2_V3_2V5</t>
  </si>
  <si>
    <t>NC</t>
  </si>
  <si>
    <t>SWR_EN_2V5</t>
  </si>
  <si>
    <t>SWR_EN = 0 - SWR Disabled; SWE_EN = 1 - SWR Enabled</t>
  </si>
  <si>
    <t>SW7_2V5</t>
  </si>
  <si>
    <t>SW7 = 0 - TX-&gt;TX; SW7 = 1 - TX-&gt;TX/RX</t>
  </si>
  <si>
    <t>SW5_2V5</t>
  </si>
  <si>
    <t>HMC544AE: U8</t>
  </si>
  <si>
    <t>RX_L</t>
  </si>
  <si>
    <t>U60</t>
  </si>
  <si>
    <t>FSEL_IN_V4_2V5</t>
  </si>
  <si>
    <t>MASW-008566: U58</t>
  </si>
  <si>
    <t>FSEL_IN_V2_2V5</t>
  </si>
  <si>
    <t>FSEL_IN_V3_2V5</t>
  </si>
  <si>
    <t>FSEL_IN_V1_2V5</t>
  </si>
  <si>
    <t>LNA_EN_2V5</t>
  </si>
  <si>
    <t>RX_L LNA Enable</t>
  </si>
  <si>
    <t>SW2_2V5</t>
  </si>
  <si>
    <t>HMC544AE: U93, U135</t>
  </si>
  <si>
    <t>HMC544AE: U38, U134</t>
  </si>
  <si>
    <t>U62</t>
  </si>
  <si>
    <t>NOTCH_2V5</t>
  </si>
  <si>
    <t>Notch filter disable; 0 - Notch ON; 1 - Notch OFF</t>
  </si>
  <si>
    <t>FSEL_OUT_V1_2V5</t>
  </si>
  <si>
    <t>MASW-008566: U59</t>
  </si>
  <si>
    <t>FSEL_OUT_V4_2V5</t>
  </si>
  <si>
    <t>FSEL_OUT_V3_2V5</t>
  </si>
  <si>
    <t>FSEL_OUT_V2_2V5</t>
  </si>
  <si>
    <t>RX_H</t>
  </si>
  <si>
    <t>U68</t>
  </si>
  <si>
    <t>RX_H LNA Enable</t>
  </si>
  <si>
    <t>SKY13415-485LF: U67</t>
  </si>
  <si>
    <t>Cell</t>
  </si>
  <si>
    <t>U118</t>
  </si>
  <si>
    <t>PA1_EN_2V5</t>
  </si>
  <si>
    <t>PA Enable - Cell Bands 7, 38</t>
  </si>
  <si>
    <t>PA2_EN_2V5</t>
  </si>
  <si>
    <t>PA Enable - Cell Bands 1, 2, 3</t>
  </si>
  <si>
    <t>PRED_EN_2V5</t>
  </si>
  <si>
    <t>PRED Enable – Cell</t>
  </si>
  <si>
    <t>LNA – EN – Cell (Band 38 separated control )</t>
  </si>
  <si>
    <t>SW5_V3_2V5</t>
  </si>
  <si>
    <t>SKY13416-485LF: U86</t>
  </si>
  <si>
    <t>SW5_V2_2V5</t>
  </si>
  <si>
    <t>SW5_V1_2V5</t>
  </si>
  <si>
    <t>U119</t>
  </si>
  <si>
    <t>SW6_V3_2V5</t>
  </si>
  <si>
    <t>SKY13416-485LF: U99, U126</t>
  </si>
  <si>
    <t>SW6_V2_2V5</t>
  </si>
  <si>
    <t>SW6_V1_2V5</t>
  </si>
  <si>
    <t>FAN_EN_2V5</t>
  </si>
  <si>
    <t>Fan Enable</t>
  </si>
  <si>
    <t>SW4_V1_2V5</t>
  </si>
  <si>
    <t>SKY13416-485LF: U35</t>
  </si>
  <si>
    <t>SW4_V3_2V5</t>
  </si>
  <si>
    <t>SW4_V2_2V5</t>
  </si>
  <si>
    <t>SW2_CTRL_2V5</t>
  </si>
  <si>
    <t>SKYA21003: U37</t>
  </si>
  <si>
    <t>U76</t>
  </si>
  <si>
    <t>SW_CPL_CTRL_2V5</t>
  </si>
  <si>
    <t>SKYA21003: U33</t>
  </si>
  <si>
    <t>SW3_V2_2V5</t>
  </si>
  <si>
    <t>SKY13414-485LF: U36</t>
  </si>
  <si>
    <t>SW3_V3_2V5</t>
  </si>
  <si>
    <t>BAND38_SELn</t>
  </si>
  <si>
    <t>Band 38 RX_TX selection (BANS38_SELn=0 then Band 38 selected )</t>
  </si>
  <si>
    <t>SW1_V1_2V5</t>
  </si>
  <si>
    <t>SKY13416-485LF: U44</t>
  </si>
  <si>
    <t>SW1_V2_2V5</t>
  </si>
  <si>
    <t>SW1_V3_2V5</t>
  </si>
  <si>
    <t>TX</t>
  </si>
  <si>
    <t>U75</t>
  </si>
  <si>
    <t>PA_435_EN_2V5</t>
  </si>
  <si>
    <t>PA445 Enable</t>
  </si>
  <si>
    <t>PA_2400_EN_2V5</t>
  </si>
  <si>
    <t>PA2400 Enable</t>
  </si>
  <si>
    <t>PA_4000_EN_2V5</t>
  </si>
  <si>
    <t>PA4000 Enable</t>
  </si>
  <si>
    <t>PA_3500_EN_2V5</t>
  </si>
  <si>
    <t>PA3500 Enable</t>
  </si>
  <si>
    <t>SW_OUT_V3_2V5</t>
  </si>
  <si>
    <t>SKY13418-485LF: U94</t>
  </si>
  <si>
    <t>SW_OUT_V2_2V5</t>
  </si>
  <si>
    <t>SW_OUT_V1_2V5</t>
  </si>
  <si>
    <t>SW145</t>
  </si>
  <si>
    <t>HMC544AE: U143</t>
  </si>
  <si>
    <t>U89</t>
  </si>
  <si>
    <t>SW_IN_L_V1_2V5</t>
  </si>
  <si>
    <t>MASW-008566: U91</t>
  </si>
  <si>
    <t>SW_IN_L_V2_2V5</t>
  </si>
  <si>
    <t>SW_IN_L_V3_2V5</t>
  </si>
  <si>
    <t>SW_IN_L_V4_2V5</t>
  </si>
  <si>
    <t>SW_IN_H_V3_2V5</t>
  </si>
  <si>
    <t>SKY13415-485LF: U140</t>
  </si>
  <si>
    <t>SW_IN_H_V2_2V5</t>
  </si>
  <si>
    <t>SW_IN_H_V1_2V5</t>
  </si>
  <si>
    <t>U92</t>
  </si>
  <si>
    <t>PA_1000_EN_2V5</t>
  </si>
  <si>
    <t>PA1000 EN</t>
  </si>
  <si>
    <t>PA_220_EN_2V5</t>
  </si>
  <si>
    <t>PA220 EN</t>
  </si>
  <si>
    <t>PA_145_EN_2V5</t>
  </si>
  <si>
    <t>PA145 EN</t>
  </si>
  <si>
    <t>PA_70_EN_2V5</t>
  </si>
  <si>
    <t>PA70 EN</t>
  </si>
  <si>
    <t>PDRIV_H_EN_2V5</t>
  </si>
  <si>
    <t>PDRIV_H EN</t>
  </si>
  <si>
    <t>PA_920_EN_2V5</t>
  </si>
  <si>
    <t>PA920 EN</t>
  </si>
  <si>
    <t>PA_1280_EN_2V5</t>
  </si>
  <si>
    <t>PA1280 EN</t>
  </si>
  <si>
    <t>R_CTRL_2V5</t>
  </si>
  <si>
    <r>
      <rPr>
        <sz val="11"/>
        <color rgb="FF000000"/>
        <rFont val="Calibri"/>
        <family val="2"/>
        <charset val="1"/>
      </rPr>
      <t>0 – LPF30, 1 – LPF70</t>
    </r>
    <r>
      <rPr>
        <sz val="11"/>
        <color rgb="FFCE181E"/>
        <rFont val="Calibri"/>
        <family val="2"/>
        <charset val="1"/>
      </rPr>
      <t xml:space="preserve"> </t>
    </r>
    <r>
      <rPr>
        <b/>
        <sz val="11"/>
        <color rgb="FFCE181E"/>
        <rFont val="Calibri"/>
        <family val="2"/>
        <charset val="1"/>
      </rPr>
      <t>Check This !!!</t>
    </r>
  </si>
  <si>
    <t>Hex Values:</t>
  </si>
  <si>
    <t>0110500800000020140040</t>
  </si>
  <si>
    <t>10202408000034000002A0</t>
  </si>
  <si>
    <t>0801000800000008180040</t>
  </si>
  <si>
    <t>8801000800000008580040</t>
  </si>
  <si>
    <t>0402700800000004310040</t>
  </si>
  <si>
    <t>0204F00800000004110040</t>
  </si>
  <si>
    <t>0000610800000010120000</t>
  </si>
  <si>
    <t>30803008000044000005A0</t>
  </si>
  <si>
    <t>50401008000014000000A0</t>
  </si>
  <si>
    <t>10604208000024000006A0</t>
  </si>
  <si>
    <t>10000808000004000004A0</t>
  </si>
  <si>
    <t>0000005A309600000001B0</t>
  </si>
  <si>
    <t>00000068625600000001B0</t>
  </si>
  <si>
    <t>0000004C241600000001B0</t>
  </si>
  <si>
    <t>00000009033500000001B0</t>
  </si>
  <si>
    <t>0000001191A500000001B0</t>
  </si>
  <si>
    <t>0000000800000000000000</t>
  </si>
  <si>
    <t>FFF7FF77F7E00000000070</t>
  </si>
  <si>
    <t xml:space="preserve"> </t>
  </si>
  <si>
    <t>Hex Values for Chain.h file:</t>
  </si>
  <si>
    <t>0x01, 0x10, 0x50, 0x08, 0x00, 0x00, 0x00, 0x20, 0x14, 0x00, 0x40</t>
  </si>
  <si>
    <t>0x10, 0x20, 0x24, 0x08, 0x00, 0x00, 0x34, 0x00, 0x00, 0x02, 0xA0</t>
  </si>
  <si>
    <t>0x08, 0x01, 0x00, 0x08, 0x00, 0x00, 0x00, 0x08, 0x18, 0x00, 0x40</t>
  </si>
  <si>
    <t>0x88, 0x01, 0x00, 0x08, 0x00, 0x00, 0x00, 0x08, 0x58, 0x00, 0x40</t>
  </si>
  <si>
    <t>0x04, 0x02, 0x70, 0x08, 0x00, 0x00, 0x00, 0x04, 0x31, 0x00, 0x40</t>
  </si>
  <si>
    <t>0x02, 0x04, 0xF0, 0x08, 0x00, 0x00, 0x00, 0x04, 0x11, 0x00, 0x40</t>
  </si>
  <si>
    <t>0x00, 0x00, 0x61, 0x08, 0x00, 0x00, 0x00, 0x10, 0x12, 0x00, 0x00</t>
  </si>
  <si>
    <t>0x30, 0x80, 0x30, 0x08, 0x00, 0x00, 0x44, 0x00, 0x00, 0x05, 0xA0</t>
  </si>
  <si>
    <t>0x50, 0x40, 0x10, 0x08, 0x00, 0x00, 0x14, 0x00, 0x00, 0x00, 0xA0</t>
  </si>
  <si>
    <t>0x10, 0x60, 0x42, 0x08, 0x00, 0x00, 0x24, 0x00, 0x00, 0x06, 0xA0</t>
  </si>
  <si>
    <t>0x10, 0x00, 0x08, 0x08, 0x00, 0x00, 0x04, 0x00, 0x00, 0x04, 0xA0</t>
  </si>
  <si>
    <t>0x00, 0x00, 0x00, 0x5A, 0x30, 0x96, 0x00, 0x00, 0x00, 0x01, 0xB0</t>
  </si>
  <si>
    <t>0x00, 0x00, 0x00, 0x68, 0x62, 0x56, 0x00, 0x00, 0x00, 0x01, 0xB0</t>
  </si>
  <si>
    <t>0x00, 0x00, 0x00, 0x4C, 0x24, 0x16, 0x00, 0x00, 0x00, 0x01, 0xB0</t>
  </si>
  <si>
    <t>0x00, 0x00, 0x00, 0x09, 0x03, 0x35, 0x00, 0x00, 0x00, 0x01, 0xB0</t>
  </si>
  <si>
    <t>0x00, 0x00, 0x00, 0x11, 0x91, 0xA5, 0x00, 0x00, 0x00, 0x01, 0xB0</t>
  </si>
  <si>
    <t>0x00, 0x00, 0x00, 0x08, 0x00, 0x00, 0x00, 0x00, 0x00, 0x00, 0x00</t>
  </si>
  <si>
    <t>0xFF, 0xF7, 0xFF, 0x77, 0xF7, 0xE0, 0x00, 0x00, 0x00, 0x00, 0x70</t>
  </si>
  <si>
    <t>Run Macros: Tools/Macros/Run Macros from there go to Shift_Registers_1v2_better.xlsm/VBAproject/moduele1 → Run</t>
  </si>
  <si>
    <t>CTRL</t>
  </si>
  <si>
    <t>RF1 to:</t>
  </si>
  <si>
    <t>RF3</t>
  </si>
  <si>
    <t>RF2</t>
  </si>
  <si>
    <t>U37:</t>
  </si>
  <si>
    <t>SW2_CTRL</t>
  </si>
  <si>
    <t>B7</t>
  </si>
  <si>
    <t>B38</t>
  </si>
  <si>
    <t>U33:</t>
  </si>
  <si>
    <t>SW_CPL_CTRL</t>
  </si>
  <si>
    <t>B1, B2, B3</t>
  </si>
  <si>
    <t>B7, B38</t>
  </si>
  <si>
    <t>V2</t>
  </si>
  <si>
    <t>V3</t>
  </si>
  <si>
    <t>Pin:</t>
  </si>
  <si>
    <t>RF1</t>
  </si>
  <si>
    <t>RF4</t>
  </si>
  <si>
    <t>U5:</t>
  </si>
  <si>
    <t>SW4_V2</t>
  </si>
  <si>
    <t>SW4_V3</t>
  </si>
  <si>
    <t>435(TX)</t>
  </si>
  <si>
    <t>920, 1280, 2400, 3500, 4000 (TX)</t>
  </si>
  <si>
    <t>TX(CELL)</t>
  </si>
  <si>
    <t>U36:</t>
  </si>
  <si>
    <t>B2</t>
  </si>
  <si>
    <t>B3</t>
  </si>
  <si>
    <t>B1</t>
  </si>
  <si>
    <t>V1</t>
  </si>
  <si>
    <t>RF5</t>
  </si>
  <si>
    <t>U67:</t>
  </si>
  <si>
    <t>FSEL_OUT_V1</t>
  </si>
  <si>
    <t>FSEL_OUT_V2</t>
  </si>
  <si>
    <t>FSEL_OUT_V3</t>
  </si>
  <si>
    <t>U140:</t>
  </si>
  <si>
    <t>SW_IN_H_V1</t>
  </si>
  <si>
    <t>SW_IN_H_V2</t>
  </si>
  <si>
    <t>SW_IN_H_V3</t>
  </si>
  <si>
    <t>RF6</t>
  </si>
  <si>
    <t>U4:</t>
  </si>
  <si>
    <t>SW2_V1</t>
  </si>
  <si>
    <t>SW2_V2</t>
  </si>
  <si>
    <t>SW2_V3</t>
  </si>
  <si>
    <t>CELL</t>
  </si>
  <si>
    <t>U86:</t>
  </si>
  <si>
    <t>SW5_V1</t>
  </si>
  <si>
    <t>SW5_V2</t>
  </si>
  <si>
    <t>SW5_V3</t>
  </si>
  <si>
    <t>1v0</t>
  </si>
  <si>
    <t>1v1</t>
  </si>
  <si>
    <t>U99, U126:</t>
  </si>
  <si>
    <t>SW6_V1</t>
  </si>
  <si>
    <t>SW6_V2</t>
  </si>
  <si>
    <t>SW6_V3</t>
  </si>
  <si>
    <t>U35:</t>
  </si>
  <si>
    <t>SW4_V1</t>
  </si>
  <si>
    <t>U44:</t>
  </si>
  <si>
    <t>SW1_V1</t>
  </si>
  <si>
    <t>SW1_V2</t>
  </si>
  <si>
    <t>SW1_V3</t>
  </si>
  <si>
    <t>RF7</t>
  </si>
  <si>
    <t>RF8</t>
  </si>
  <si>
    <t>U94:</t>
  </si>
  <si>
    <t>SW_OUT_V1</t>
  </si>
  <si>
    <t>SW_OUT_V2</t>
  </si>
  <si>
    <t>SW_OUT_V3</t>
  </si>
  <si>
    <t>145, 220</t>
  </si>
  <si>
    <t>A</t>
  </si>
  <si>
    <t>B</t>
  </si>
  <si>
    <t>RFC to:</t>
  </si>
  <si>
    <t>U2</t>
  </si>
  <si>
    <t>SW3</t>
  </si>
  <si>
    <t>SW3n</t>
  </si>
  <si>
    <t>CELL, 920, 1280, 2400, 3500, 4000 (TX)</t>
  </si>
  <si>
    <t>30, 70, 145, 220, 445, 1000 (TX)</t>
  </si>
  <si>
    <t>U3</t>
  </si>
  <si>
    <t>SW1</t>
  </si>
  <si>
    <t>SW1n</t>
  </si>
  <si>
    <t>30, 70, 145, 220, 445, 1000 (RX)</t>
  </si>
  <si>
    <t>CELL, 920, 1280, 2400, 3500, 4000 (RX)</t>
  </si>
  <si>
    <t>U8</t>
  </si>
  <si>
    <t>SW5</t>
  </si>
  <si>
    <t>SW5n</t>
  </si>
  <si>
    <t>145, 220, 445 (RX)</t>
  </si>
  <si>
    <t>30, 70 (RX)</t>
  </si>
  <si>
    <t>SW145n</t>
  </si>
  <si>
    <t>U38, U134:</t>
  </si>
  <si>
    <t>U93, U135</t>
  </si>
  <si>
    <t>SW2</t>
  </si>
  <si>
    <t>SW2n</t>
  </si>
  <si>
    <t>V4</t>
  </si>
  <si>
    <t>U58:</t>
  </si>
  <si>
    <t>FSEL_IN_V1</t>
  </si>
  <si>
    <t>FSEL_IN_V2</t>
  </si>
  <si>
    <t>FSEL_IN_V3</t>
  </si>
  <si>
    <t>FSEL_IN_V4</t>
  </si>
  <si>
    <t>30, 60</t>
  </si>
  <si>
    <t>U59:</t>
  </si>
  <si>
    <t>FSEL_OUT_V4</t>
  </si>
  <si>
    <t>SW_IN_L_V1</t>
  </si>
  <si>
    <t>SW_IN_L_V2</t>
  </si>
  <si>
    <t>SW_IN_L_V3</t>
  </si>
  <si>
    <t>SW_IN_L_V4</t>
  </si>
  <si>
    <t>30, 70</t>
  </si>
  <si>
    <t>HMC544AE</t>
  </si>
  <si>
    <t>U4</t>
  </si>
  <si>
    <t>SKY13415</t>
  </si>
  <si>
    <t>SKY13414</t>
  </si>
  <si>
    <t>SKY13416</t>
  </si>
  <si>
    <t>SKY13418</t>
  </si>
  <si>
    <t>Channel</t>
  </si>
  <si>
    <t>Pin</t>
  </si>
  <si>
    <t>50 Ohm</t>
  </si>
  <si>
    <t>RF3, RF5</t>
  </si>
  <si>
    <t>Shutdown</t>
  </si>
  <si>
    <t>SKYA21003</t>
  </si>
  <si>
    <t>FSEL_OUT</t>
  </si>
  <si>
    <t>U67</t>
  </si>
  <si>
    <t>Note: Mismatch in names!!!</t>
  </si>
  <si>
    <t>Signals:</t>
  </si>
  <si>
    <t>Pins:</t>
  </si>
  <si>
    <t>Filter</t>
  </si>
  <si>
    <t>F6</t>
  </si>
  <si>
    <t>F4</t>
  </si>
  <si>
    <t>F5</t>
  </si>
  <si>
    <t>Bypass</t>
  </si>
  <si>
    <t>FSEL_IN</t>
  </si>
  <si>
    <t>U58</t>
  </si>
  <si>
    <t>Note: Should be named FSEL_OUT</t>
  </si>
  <si>
    <t>MASW-008566</t>
  </si>
  <si>
    <t>Filter:</t>
  </si>
  <si>
    <t>Channel:</t>
  </si>
  <si>
    <t>F1</t>
  </si>
  <si>
    <t>F2</t>
  </si>
  <si>
    <t>F3</t>
  </si>
  <si>
    <t>PE4245</t>
  </si>
  <si>
    <t>U59</t>
  </si>
  <si>
    <t>Note: Should be named FSEL_IN</t>
  </si>
  <si>
    <t>SW4</t>
  </si>
  <si>
    <t>U35</t>
  </si>
  <si>
    <t>Band:</t>
  </si>
  <si>
    <t>TQQ6107</t>
  </si>
  <si>
    <t>QPQ1297</t>
  </si>
  <si>
    <t>TQM963014</t>
  </si>
  <si>
    <t>MAFR-000633</t>
  </si>
  <si>
    <t>QPQ1282</t>
  </si>
  <si>
    <t>U36</t>
  </si>
  <si>
    <t>SW3_V2</t>
  </si>
  <si>
    <t>SW3_V3</t>
  </si>
  <si>
    <t>F6QA1G842M2AN-J</t>
  </si>
  <si>
    <t>B39202B9477P810</t>
  </si>
  <si>
    <t>F6QA2G655M2QH-J</t>
  </si>
  <si>
    <t>B39212B9451P810</t>
  </si>
  <si>
    <t>U99</t>
  </si>
  <si>
    <t>U126</t>
  </si>
  <si>
    <t>U44</t>
  </si>
  <si>
    <t>U93</t>
  </si>
  <si>
    <t>PA:</t>
  </si>
  <si>
    <t>PA3500</t>
  </si>
  <si>
    <t>PA4000</t>
  </si>
  <si>
    <t>PA1280</t>
  </si>
  <si>
    <t>PA2400</t>
  </si>
  <si>
    <t>U94</t>
  </si>
  <si>
    <t>LPF3500</t>
  </si>
  <si>
    <t>LPF1280</t>
  </si>
  <si>
    <t>WB2</t>
  </si>
  <si>
    <t>LPF145</t>
  </si>
  <si>
    <t>LPF2400</t>
  </si>
  <si>
    <t>LPF435</t>
  </si>
  <si>
    <t>WB1</t>
  </si>
  <si>
    <t>U91</t>
  </si>
  <si>
    <t>PDRIV_1000MHz</t>
  </si>
  <si>
    <t>PDRIV_435MHz</t>
  </si>
  <si>
    <t>PDRIV_145MHz</t>
  </si>
  <si>
    <t>PDRIV_30MHz</t>
  </si>
  <si>
    <t>U9</t>
  </si>
  <si>
    <t>TXRX Cell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</si>
</sst>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rgb="FF000000"/>
      <name val="Calibri"/>
      <family val="2"/>
      <charset val="1"/>
    </font>
    <font>
      <sz val="11"/>
      <name val="Calibri"/>
      <family val="2"/>
      <charset val="1"/>
    </font>
    <font>
      <b/>
      <sz val="11"/>
      <color rgb="FFC00000"/>
      <name val="Calibri"/>
      <family val="2"/>
      <charset val="1"/>
    </font>
    <font>
      <sz val="11"/>
      <color rgb="FF0070C0"/>
      <name val="Calibri"/>
      <family val="2"/>
      <charset val="1"/>
    </font>
    <font>
      <sz val="11"/>
      <color rgb="FF808080"/>
      <name val="Calibri"/>
      <family val="2"/>
      <charset val="1"/>
    </font>
    <font>
      <b/>
      <sz val="11"/>
      <color rgb="FFFF0000"/>
      <name val="Calibri"/>
      <family val="2"/>
      <charset val="1"/>
    </font>
    <font>
      <sz val="11"/>
      <color rgb="FF000000"/>
      <name val="Calibri"/>
      <family val="2"/>
    </font>
    <font>
      <sz val="11"/>
      <name val="Calibri"/>
      <family val="2"/>
    </font>
    <font>
      <sz val="11"/>
      <color rgb="FF0070C0"/>
      <name val="Calibri"/>
      <family val="2"/>
    </font>
    <font>
      <sz val="11"/>
      <color rgb="FF808080"/>
      <name val="Calibri"/>
      <family val="2"/>
    </font>
    <font>
      <sz val="11"/>
      <color rgb="FF666666"/>
      <name val="Calibri"/>
      <family val="2"/>
    </font>
    <font>
      <sz val="11"/>
      <color rgb="FF666666"/>
      <name val="Calibri"/>
      <family val="2"/>
      <charset val="1"/>
    </font>
    <font>
      <sz val="11"/>
      <color rgb="FFCE181E"/>
      <name val="Calibri"/>
      <family val="2"/>
      <charset val="1"/>
    </font>
    <font>
      <b/>
      <sz val="11"/>
      <color rgb="FFCE181E"/>
      <name val="Calibri"/>
      <family val="2"/>
      <charset val="1"/>
    </font>
    <font>
      <sz val="11"/>
      <color rgb="FFC9211E"/>
      <name val="Calibri"/>
      <family val="2"/>
      <charset val="1"/>
    </font>
  </fonts>
  <fills count="9">
    <fill>
      <patternFill patternType="none"/>
    </fill>
    <fill>
      <patternFill patternType="gray125"/>
    </fill>
    <fill>
      <patternFill patternType="solid">
        <fgColor rgb="FFFCD4D1"/>
        <bgColor rgb="FFDDDDDD"/>
      </patternFill>
    </fill>
    <fill>
      <patternFill patternType="solid">
        <fgColor rgb="FFBCE4E5"/>
        <bgColor rgb="FFD6DCE5"/>
      </patternFill>
    </fill>
    <fill>
      <patternFill patternType="solid">
        <fgColor rgb="FFD6DCE5"/>
        <bgColor rgb="FFDDDDDD"/>
      </patternFill>
    </fill>
    <fill>
      <patternFill patternType="solid">
        <fgColor rgb="FFF2F2F2"/>
        <bgColor rgb="FFEEEEEE"/>
      </patternFill>
    </fill>
    <fill>
      <patternFill patternType="solid">
        <fgColor rgb="FFFFFBCC"/>
        <bgColor rgb="FFF2F2F2"/>
      </patternFill>
    </fill>
    <fill>
      <patternFill patternType="solid">
        <fgColor rgb="FFEEEEEE"/>
        <bgColor rgb="FFF2F2F2"/>
      </patternFill>
    </fill>
    <fill>
      <patternFill patternType="solid">
        <fgColor rgb="FFDDDDDD"/>
        <bgColor rgb="FFD6DCE5"/>
      </patternFill>
    </fill>
  </fills>
  <borders count="2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0" xfId="0" applyFont="1"/>
    <xf numFmtId="0" fontId="1" fillId="2" borderId="0" xfId="0" applyFont="1" applyFill="1"/>
    <xf numFmtId="0" fontId="1" fillId="3" borderId="0" xfId="0" applyFont="1" applyFill="1"/>
    <xf numFmtId="0" fontId="2" fillId="0" borderId="0" xfId="0" applyFont="1"/>
    <xf numFmtId="0" fontId="3" fillId="4" borderId="0" xfId="0" applyFont="1" applyFill="1"/>
    <xf numFmtId="0" fontId="4" fillId="5" borderId="0" xfId="0" applyFont="1" applyFill="1"/>
    <xf numFmtId="0" fontId="0" fillId="6" borderId="0" xfId="0" applyFont="1" applyFill="1"/>
    <xf numFmtId="0" fontId="6" fillId="6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5" fillId="6" borderId="0" xfId="0" applyFont="1" applyFill="1"/>
    <xf numFmtId="0" fontId="8" fillId="4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7" fillId="2" borderId="0" xfId="0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0" fillId="7" borderId="0" xfId="0" applyFont="1" applyFill="1"/>
    <xf numFmtId="0" fontId="9" fillId="7" borderId="0" xfId="0" applyFont="1" applyFill="1" applyAlignment="1">
      <alignment horizontal="center"/>
    </xf>
    <xf numFmtId="0" fontId="10" fillId="7" borderId="0" xfId="0" applyFont="1" applyFill="1" applyAlignment="1">
      <alignment horizontal="center"/>
    </xf>
    <xf numFmtId="0" fontId="11" fillId="7" borderId="0" xfId="0" applyFont="1" applyFill="1"/>
    <xf numFmtId="0" fontId="8" fillId="6" borderId="0" xfId="0" applyFont="1" applyFill="1" applyAlignment="1">
      <alignment horizontal="center"/>
    </xf>
    <xf numFmtId="0" fontId="9" fillId="5" borderId="0" xfId="0" applyFont="1" applyFill="1" applyAlignment="1">
      <alignment horizontal="center"/>
    </xf>
    <xf numFmtId="0" fontId="1" fillId="0" borderId="0" xfId="0" applyFont="1"/>
    <xf numFmtId="0" fontId="1" fillId="6" borderId="0" xfId="0" applyFont="1" applyFill="1"/>
    <xf numFmtId="49" fontId="14" fillId="0" borderId="0" xfId="0" applyNumberFormat="1" applyFont="1"/>
    <xf numFmtId="49" fontId="0" fillId="0" borderId="0" xfId="0" applyNumberFormat="1" applyFont="1"/>
    <xf numFmtId="49" fontId="1" fillId="2" borderId="0" xfId="0" applyNumberFormat="1" applyFont="1" applyFill="1"/>
    <xf numFmtId="49" fontId="1" fillId="3" borderId="0" xfId="0" applyNumberFormat="1" applyFont="1" applyFill="1"/>
    <xf numFmtId="0" fontId="0" fillId="0" borderId="1" xfId="0" applyFont="1" applyBorder="1"/>
    <xf numFmtId="0" fontId="0" fillId="0" borderId="0" xfId="0" applyAlignment="1">
      <alignment horizontal="center"/>
    </xf>
    <xf numFmtId="0" fontId="0" fillId="0" borderId="1" xfId="0" applyFont="1" applyBorder="1" applyAlignment="1">
      <alignment horizontal="center"/>
    </xf>
    <xf numFmtId="0" fontId="0" fillId="8" borderId="1" xfId="0" applyFont="1" applyFill="1" applyBorder="1" applyAlignment="1">
      <alignment horizontal="center"/>
    </xf>
    <xf numFmtId="0" fontId="5" fillId="0" borderId="0" xfId="0" applyFont="1"/>
    <xf numFmtId="0" fontId="6" fillId="0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2F2F2"/>
      <rgbColor rgb="FFFF0000"/>
      <rgbColor rgb="FF00FF00"/>
      <rgbColor rgb="FF0000FF"/>
      <rgbColor rgb="FFFFFF00"/>
      <rgbColor rgb="FFFF00FF"/>
      <rgbColor rgb="FF00FFFF"/>
      <rgbColor rgb="FFC00000"/>
      <rgbColor rgb="FF008000"/>
      <rgbColor rgb="FF000080"/>
      <rgbColor rgb="FF808000"/>
      <rgbColor rgb="FF800080"/>
      <rgbColor rgb="FF008080"/>
      <rgbColor rgb="FFDDDDDD"/>
      <rgbColor rgb="FF808080"/>
      <rgbColor rgb="FF9999FF"/>
      <rgbColor rgb="FFCE181E"/>
      <rgbColor rgb="FFFFFBCC"/>
      <rgbColor rgb="FFEEEEEE"/>
      <rgbColor rgb="FF660066"/>
      <rgbColor rgb="FFFF8080"/>
      <rgbColor rgb="FF0070C0"/>
      <rgbColor rgb="FFD6DCE5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BCE4E5"/>
      <rgbColor rgb="FFFFFF99"/>
      <rgbColor rgb="FF99CCFF"/>
      <rgbColor rgb="FFFF99CC"/>
      <rgbColor rgb="FFCC99FF"/>
      <rgbColor rgb="FFFCD4D1"/>
      <rgbColor rgb="FF3366FF"/>
      <rgbColor rgb="FF33CCCC"/>
      <rgbColor rgb="FF99CC00"/>
      <rgbColor rgb="FFFFCC00"/>
      <rgbColor rgb="FFFF9900"/>
      <rgbColor rgb="FFFF6600"/>
      <rgbColor rgb="FF666666"/>
      <rgbColor rgb="FF969696"/>
      <rgbColor rgb="FF003366"/>
      <rgbColor rgb="FF339966"/>
      <rgbColor rgb="FF003300"/>
      <rgbColor rgb="FF333300"/>
      <rgbColor rgb="FFC9211E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108"/>
  <sheetViews>
    <sheetView tabSelected="1" zoomScaleNormal="100" workbookViewId="0">
      <pane xSplit="3" ySplit="3" topLeftCell="D70" activePane="bottomRight" state="frozen"/>
      <selection pane="topRight" activeCell="D1" sqref="D1"/>
      <selection pane="bottomLeft" activeCell="A85" sqref="A85"/>
      <selection pane="bottomRight" activeCell="V53" sqref="V53"/>
    </sheetView>
  </sheetViews>
  <sheetFormatPr defaultColWidth="9.140625" defaultRowHeight="15" x14ac:dyDescent="0.25"/>
  <cols>
    <col min="1" max="1" width="6.140625" style="1" customWidth="1"/>
    <col min="2" max="2" width="6.28515625" style="1" customWidth="1"/>
    <col min="3" max="3" width="16" style="1" customWidth="1"/>
    <col min="4" max="4" width="8" style="1" customWidth="1"/>
    <col min="5" max="5" width="5.28515625" style="1" customWidth="1"/>
    <col min="6" max="6" width="5" style="1" customWidth="1"/>
    <col min="7" max="7" width="5.5703125" style="1" customWidth="1"/>
    <col min="8" max="8" width="2.7109375" style="1" customWidth="1"/>
    <col min="9" max="9" width="5.85546875" style="1" customWidth="1"/>
    <col min="10" max="10" width="2.7109375" style="1" customWidth="1"/>
    <col min="11" max="17" width="10.7109375" style="1" customWidth="1"/>
    <col min="18" max="18" width="10.42578125" style="1" customWidth="1"/>
    <col min="19" max="19" width="10.85546875" style="1" customWidth="1"/>
    <col min="20" max="20" width="10.42578125" style="1" customWidth="1"/>
    <col min="21" max="21" width="11.140625" style="1" customWidth="1"/>
    <col min="22" max="22" width="11" style="1" customWidth="1"/>
    <col min="23" max="26" width="9.140625" style="1"/>
    <col min="27" max="27" width="10.140625" style="2" customWidth="1"/>
    <col min="28" max="28" width="10.140625" style="3" customWidth="1"/>
    <col min="29" max="29" width="57.42578125" style="1" customWidth="1"/>
    <col min="30" max="30" width="2.5703125" style="1" customWidth="1"/>
    <col min="31" max="31" width="7.7109375" style="1" customWidth="1"/>
    <col min="32" max="1024" width="9.140625" style="1"/>
  </cols>
  <sheetData>
    <row r="1" spans="1:31" x14ac:dyDescent="0.25">
      <c r="A1" s="4"/>
      <c r="M1" s="5">
        <v>0</v>
      </c>
      <c r="N1" s="1" t="s">
        <v>0</v>
      </c>
      <c r="S1" s="6">
        <v>0</v>
      </c>
      <c r="T1" s="1" t="s">
        <v>1</v>
      </c>
      <c r="W1"/>
    </row>
    <row r="2" spans="1:31" x14ac:dyDescent="0.25">
      <c r="A2" s="1" t="s">
        <v>2</v>
      </c>
      <c r="B2" s="1" t="s">
        <v>3</v>
      </c>
      <c r="C2" s="1" t="s">
        <v>4</v>
      </c>
      <c r="E2" s="1" t="s">
        <v>5</v>
      </c>
      <c r="F2" s="1" t="s">
        <v>6</v>
      </c>
      <c r="G2" s="1" t="s">
        <v>7</v>
      </c>
      <c r="I2" s="1" t="s">
        <v>8</v>
      </c>
      <c r="K2" s="1">
        <v>1</v>
      </c>
      <c r="L2" s="1">
        <v>2</v>
      </c>
      <c r="M2" s="1">
        <v>3</v>
      </c>
      <c r="N2" s="1">
        <v>4</v>
      </c>
      <c r="O2" s="1">
        <v>5</v>
      </c>
      <c r="P2" s="1">
        <v>6</v>
      </c>
      <c r="Q2" s="1">
        <v>7</v>
      </c>
      <c r="R2" s="1">
        <v>8</v>
      </c>
      <c r="S2" s="1">
        <v>9</v>
      </c>
      <c r="T2" s="1">
        <v>10</v>
      </c>
      <c r="U2" s="1">
        <v>11</v>
      </c>
      <c r="V2" s="1">
        <v>12</v>
      </c>
      <c r="W2" s="1">
        <v>13</v>
      </c>
      <c r="X2" s="1">
        <v>14</v>
      </c>
      <c r="Y2" s="1">
        <v>15</v>
      </c>
      <c r="Z2" s="1">
        <v>16</v>
      </c>
      <c r="AE2" s="1" t="s">
        <v>9</v>
      </c>
    </row>
    <row r="3" spans="1:31" x14ac:dyDescent="0.25">
      <c r="K3" s="1" t="s">
        <v>10</v>
      </c>
      <c r="L3" s="1" t="s">
        <v>11</v>
      </c>
      <c r="M3" s="1" t="s">
        <v>12</v>
      </c>
      <c r="N3" s="1" t="s">
        <v>13</v>
      </c>
      <c r="O3" s="1" t="s">
        <v>14</v>
      </c>
      <c r="P3" s="1" t="s">
        <v>15</v>
      </c>
      <c r="Q3" s="1" t="s">
        <v>16</v>
      </c>
      <c r="R3" s="1" t="s">
        <v>17</v>
      </c>
      <c r="S3" s="1" t="s">
        <v>18</v>
      </c>
      <c r="T3" s="1" t="s">
        <v>19</v>
      </c>
      <c r="U3" s="1" t="s">
        <v>20</v>
      </c>
      <c r="V3" s="1" t="s">
        <v>21</v>
      </c>
      <c r="W3" s="1" t="s">
        <v>22</v>
      </c>
      <c r="X3" s="1" t="s">
        <v>23</v>
      </c>
      <c r="Y3" s="1" t="s">
        <v>24</v>
      </c>
      <c r="Z3" s="1" t="s">
        <v>25</v>
      </c>
      <c r="AA3" s="2" t="s">
        <v>26</v>
      </c>
      <c r="AB3" s="3" t="s">
        <v>27</v>
      </c>
      <c r="AC3" s="1" t="s">
        <v>28</v>
      </c>
      <c r="AE3" s="1" t="s">
        <v>29</v>
      </c>
    </row>
    <row r="4" spans="1:31" s="7" customFormat="1" x14ac:dyDescent="0.25">
      <c r="A4" s="7" t="s">
        <v>30</v>
      </c>
      <c r="B4" s="7" t="s">
        <v>31</v>
      </c>
      <c r="C4" s="7" t="s">
        <v>32</v>
      </c>
      <c r="E4" s="1">
        <f t="shared" ref="E4:E35" si="0">IF(AND(NOT(ISBLANK(E12)), (E5 = E12)), E5+1, E5)</f>
        <v>11</v>
      </c>
      <c r="F4" s="7">
        <f t="shared" ref="F4:F35" si="1">MOD((F5-1),8)</f>
        <v>0</v>
      </c>
      <c r="G4" s="1">
        <f t="shared" ref="G4:G35" si="2">G3+1</f>
        <v>1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9">
        <v>0</v>
      </c>
      <c r="AB4" s="9">
        <v>0</v>
      </c>
      <c r="AE4" s="10" t="s">
        <v>33</v>
      </c>
    </row>
    <row r="5" spans="1:31" s="7" customFormat="1" x14ac:dyDescent="0.25">
      <c r="C5" s="7" t="s">
        <v>34</v>
      </c>
      <c r="E5" s="1">
        <f t="shared" si="0"/>
        <v>11</v>
      </c>
      <c r="F5" s="7">
        <f t="shared" si="1"/>
        <v>1</v>
      </c>
      <c r="G5" s="1">
        <f t="shared" si="2"/>
        <v>2</v>
      </c>
      <c r="K5" s="8">
        <v>0</v>
      </c>
      <c r="L5" s="8">
        <v>0</v>
      </c>
      <c r="M5" s="8">
        <v>0</v>
      </c>
      <c r="N5" s="8">
        <v>0</v>
      </c>
      <c r="O5" s="8">
        <v>0</v>
      </c>
      <c r="P5" s="8">
        <v>0</v>
      </c>
      <c r="Q5" s="8">
        <v>0</v>
      </c>
      <c r="R5" s="8">
        <v>0</v>
      </c>
      <c r="S5" s="8">
        <v>0</v>
      </c>
      <c r="T5" s="8">
        <v>0</v>
      </c>
      <c r="U5" s="8">
        <v>0</v>
      </c>
      <c r="V5" s="8">
        <v>0</v>
      </c>
      <c r="W5" s="8">
        <v>0</v>
      </c>
      <c r="X5" s="8">
        <v>0</v>
      </c>
      <c r="Y5" s="8">
        <v>0</v>
      </c>
      <c r="Z5" s="8">
        <v>0</v>
      </c>
      <c r="AA5" s="9">
        <v>0</v>
      </c>
      <c r="AB5" s="9">
        <v>0</v>
      </c>
      <c r="AE5" s="10" t="s">
        <v>33</v>
      </c>
    </row>
    <row r="6" spans="1:31" s="7" customFormat="1" x14ac:dyDescent="0.25">
      <c r="C6" s="7" t="s">
        <v>35</v>
      </c>
      <c r="E6" s="1">
        <f t="shared" si="0"/>
        <v>11</v>
      </c>
      <c r="F6" s="7">
        <f t="shared" si="1"/>
        <v>2</v>
      </c>
      <c r="G6" s="1">
        <f t="shared" si="2"/>
        <v>3</v>
      </c>
      <c r="K6" s="8">
        <v>0</v>
      </c>
      <c r="L6" s="8">
        <v>0</v>
      </c>
      <c r="M6" s="8">
        <v>0</v>
      </c>
      <c r="N6" s="8">
        <v>0</v>
      </c>
      <c r="O6" s="8">
        <v>0</v>
      </c>
      <c r="P6" s="8">
        <v>0</v>
      </c>
      <c r="Q6" s="8">
        <v>0</v>
      </c>
      <c r="R6" s="8">
        <v>0</v>
      </c>
      <c r="S6" s="8">
        <v>0</v>
      </c>
      <c r="T6" s="8">
        <v>0</v>
      </c>
      <c r="U6" s="8">
        <v>0</v>
      </c>
      <c r="V6" s="8">
        <v>0</v>
      </c>
      <c r="W6" s="8">
        <v>0</v>
      </c>
      <c r="X6" s="8">
        <v>0</v>
      </c>
      <c r="Y6" s="8">
        <v>0</v>
      </c>
      <c r="Z6" s="8">
        <v>0</v>
      </c>
      <c r="AA6" s="9">
        <v>0</v>
      </c>
      <c r="AB6" s="9">
        <v>0</v>
      </c>
      <c r="AE6" s="10" t="s">
        <v>33</v>
      </c>
    </row>
    <row r="7" spans="1:31" s="7" customFormat="1" x14ac:dyDescent="0.25">
      <c r="C7" s="7" t="s">
        <v>36</v>
      </c>
      <c r="E7" s="1">
        <f t="shared" si="0"/>
        <v>11</v>
      </c>
      <c r="F7" s="7">
        <f t="shared" si="1"/>
        <v>3</v>
      </c>
      <c r="G7" s="1">
        <f t="shared" si="2"/>
        <v>4</v>
      </c>
      <c r="K7" s="8">
        <v>0</v>
      </c>
      <c r="L7" s="8">
        <v>0</v>
      </c>
      <c r="M7" s="8">
        <v>0</v>
      </c>
      <c r="N7" s="8">
        <v>0</v>
      </c>
      <c r="O7" s="8">
        <v>0</v>
      </c>
      <c r="P7" s="8">
        <v>0</v>
      </c>
      <c r="Q7" s="8">
        <v>0</v>
      </c>
      <c r="R7" s="8">
        <v>0</v>
      </c>
      <c r="S7" s="8">
        <v>0</v>
      </c>
      <c r="T7" s="8">
        <v>0</v>
      </c>
      <c r="U7" s="8">
        <v>0</v>
      </c>
      <c r="V7" s="8">
        <v>0</v>
      </c>
      <c r="W7" s="8">
        <v>0</v>
      </c>
      <c r="X7" s="8">
        <v>0</v>
      </c>
      <c r="Y7" s="8">
        <v>0</v>
      </c>
      <c r="Z7" s="8">
        <v>0</v>
      </c>
      <c r="AA7" s="9">
        <v>0</v>
      </c>
      <c r="AB7" s="9">
        <v>0</v>
      </c>
      <c r="AC7" s="7" t="s">
        <v>37</v>
      </c>
      <c r="AE7" s="10" t="s">
        <v>33</v>
      </c>
    </row>
    <row r="8" spans="1:31" x14ac:dyDescent="0.25">
      <c r="C8" s="1" t="s">
        <v>38</v>
      </c>
      <c r="E8" s="1">
        <f t="shared" si="0"/>
        <v>11</v>
      </c>
      <c r="F8" s="7">
        <f t="shared" si="1"/>
        <v>4</v>
      </c>
      <c r="G8" s="1">
        <f t="shared" si="2"/>
        <v>5</v>
      </c>
      <c r="K8" s="11">
        <v>0</v>
      </c>
      <c r="L8" s="12">
        <v>0</v>
      </c>
      <c r="M8" s="11">
        <v>0</v>
      </c>
      <c r="N8" s="11">
        <v>0</v>
      </c>
      <c r="O8" s="11">
        <v>0</v>
      </c>
      <c r="P8" s="11">
        <v>0</v>
      </c>
      <c r="Q8" s="12">
        <v>0</v>
      </c>
      <c r="R8" s="12">
        <v>0</v>
      </c>
      <c r="S8" s="12">
        <v>0</v>
      </c>
      <c r="T8" s="12">
        <v>0</v>
      </c>
      <c r="U8" s="12">
        <v>0</v>
      </c>
      <c r="V8" s="13">
        <v>1</v>
      </c>
      <c r="W8" s="13">
        <v>1</v>
      </c>
      <c r="X8" s="13">
        <v>1</v>
      </c>
      <c r="Y8" s="13">
        <v>1</v>
      </c>
      <c r="Z8" s="13">
        <v>1</v>
      </c>
      <c r="AA8" s="14">
        <v>0</v>
      </c>
      <c r="AB8" s="15">
        <v>1</v>
      </c>
      <c r="AC8" s="1" t="s">
        <v>39</v>
      </c>
    </row>
    <row r="9" spans="1:31" x14ac:dyDescent="0.25">
      <c r="C9" s="1" t="s">
        <v>40</v>
      </c>
      <c r="E9" s="1">
        <f t="shared" si="0"/>
        <v>11</v>
      </c>
      <c r="F9" s="7">
        <f t="shared" si="1"/>
        <v>5</v>
      </c>
      <c r="G9" s="1">
        <f t="shared" si="2"/>
        <v>6</v>
      </c>
      <c r="K9" s="11">
        <v>0</v>
      </c>
      <c r="L9" s="12">
        <v>1</v>
      </c>
      <c r="M9" s="11">
        <v>0</v>
      </c>
      <c r="N9" s="11">
        <v>0</v>
      </c>
      <c r="O9" s="11">
        <v>0</v>
      </c>
      <c r="P9" s="11">
        <v>0</v>
      </c>
      <c r="Q9" s="12">
        <v>0</v>
      </c>
      <c r="R9" s="12">
        <v>1</v>
      </c>
      <c r="S9" s="12">
        <v>1</v>
      </c>
      <c r="T9" s="12">
        <v>1</v>
      </c>
      <c r="U9" s="12">
        <v>1</v>
      </c>
      <c r="V9" s="13">
        <v>1</v>
      </c>
      <c r="W9" s="13">
        <v>1</v>
      </c>
      <c r="X9" s="13">
        <v>1</v>
      </c>
      <c r="Y9" s="13">
        <v>1</v>
      </c>
      <c r="Z9" s="13">
        <v>1</v>
      </c>
      <c r="AA9" s="14">
        <v>0</v>
      </c>
      <c r="AB9" s="15">
        <v>1</v>
      </c>
      <c r="AC9" s="1" t="s">
        <v>39</v>
      </c>
    </row>
    <row r="10" spans="1:31" x14ac:dyDescent="0.25">
      <c r="C10" s="1" t="s">
        <v>41</v>
      </c>
      <c r="E10" s="1">
        <f t="shared" si="0"/>
        <v>11</v>
      </c>
      <c r="F10" s="7">
        <f t="shared" si="1"/>
        <v>6</v>
      </c>
      <c r="G10" s="1">
        <f t="shared" si="2"/>
        <v>7</v>
      </c>
      <c r="K10" s="13">
        <v>1</v>
      </c>
      <c r="L10" s="13">
        <v>0</v>
      </c>
      <c r="M10" s="13">
        <v>1</v>
      </c>
      <c r="N10" s="13">
        <v>1</v>
      </c>
      <c r="O10" s="13">
        <v>1</v>
      </c>
      <c r="P10" s="13">
        <v>1</v>
      </c>
      <c r="Q10" s="13">
        <v>0</v>
      </c>
      <c r="R10" s="13">
        <v>0</v>
      </c>
      <c r="S10" s="13">
        <v>0</v>
      </c>
      <c r="T10" s="13">
        <v>0</v>
      </c>
      <c r="U10" s="13">
        <v>0</v>
      </c>
      <c r="V10" s="13">
        <v>0</v>
      </c>
      <c r="W10" s="13">
        <v>0</v>
      </c>
      <c r="X10" s="13">
        <v>0</v>
      </c>
      <c r="Y10" s="13">
        <v>0</v>
      </c>
      <c r="Z10" s="13">
        <v>0</v>
      </c>
      <c r="AA10" s="14">
        <v>0</v>
      </c>
      <c r="AB10" s="15">
        <v>1</v>
      </c>
      <c r="AC10" s="1" t="s">
        <v>42</v>
      </c>
    </row>
    <row r="11" spans="1:31" x14ac:dyDescent="0.25">
      <c r="C11" s="1" t="s">
        <v>43</v>
      </c>
      <c r="E11" s="1">
        <f t="shared" si="0"/>
        <v>11</v>
      </c>
      <c r="F11" s="7">
        <f t="shared" si="1"/>
        <v>7</v>
      </c>
      <c r="G11" s="1">
        <f t="shared" si="2"/>
        <v>8</v>
      </c>
      <c r="K11" s="13">
        <v>0</v>
      </c>
      <c r="L11" s="13">
        <v>1</v>
      </c>
      <c r="M11" s="13">
        <v>0</v>
      </c>
      <c r="N11" s="13">
        <v>0</v>
      </c>
      <c r="O11" s="13">
        <v>0</v>
      </c>
      <c r="P11" s="13">
        <v>0</v>
      </c>
      <c r="Q11" s="13">
        <v>0</v>
      </c>
      <c r="R11" s="13">
        <v>1</v>
      </c>
      <c r="S11" s="13">
        <v>1</v>
      </c>
      <c r="T11" s="13">
        <v>1</v>
      </c>
      <c r="U11" s="13">
        <v>1</v>
      </c>
      <c r="V11" s="13">
        <v>1</v>
      </c>
      <c r="W11" s="13">
        <v>1</v>
      </c>
      <c r="X11" s="13">
        <v>1</v>
      </c>
      <c r="Y11" s="13">
        <v>1</v>
      </c>
      <c r="Z11" s="13">
        <v>1</v>
      </c>
      <c r="AA11" s="14">
        <v>0</v>
      </c>
      <c r="AB11" s="15">
        <v>0</v>
      </c>
      <c r="AC11" s="1" t="s">
        <v>44</v>
      </c>
    </row>
    <row r="12" spans="1:31" x14ac:dyDescent="0.25">
      <c r="B12" s="1" t="s">
        <v>45</v>
      </c>
      <c r="C12" s="1" t="s">
        <v>46</v>
      </c>
      <c r="E12" s="1">
        <f t="shared" si="0"/>
        <v>10</v>
      </c>
      <c r="F12" s="7">
        <f t="shared" si="1"/>
        <v>0</v>
      </c>
      <c r="G12" s="1">
        <f t="shared" si="2"/>
        <v>9</v>
      </c>
      <c r="K12" s="11">
        <v>0</v>
      </c>
      <c r="L12" s="13">
        <v>0</v>
      </c>
      <c r="M12" s="11">
        <v>0</v>
      </c>
      <c r="N12" s="11">
        <v>0</v>
      </c>
      <c r="O12" s="11">
        <v>0</v>
      </c>
      <c r="P12" s="11">
        <v>0</v>
      </c>
      <c r="Q12" s="11">
        <v>0</v>
      </c>
      <c r="R12" s="13">
        <v>1</v>
      </c>
      <c r="S12" s="13">
        <v>0</v>
      </c>
      <c r="T12" s="13">
        <v>0</v>
      </c>
      <c r="U12" s="13">
        <v>0</v>
      </c>
      <c r="V12" s="13">
        <v>1</v>
      </c>
      <c r="W12" s="13">
        <v>1</v>
      </c>
      <c r="X12" s="13">
        <v>1</v>
      </c>
      <c r="Y12" s="13">
        <v>1</v>
      </c>
      <c r="Z12" s="13">
        <v>1</v>
      </c>
      <c r="AA12" s="14">
        <v>0</v>
      </c>
      <c r="AB12" s="15">
        <v>0</v>
      </c>
      <c r="AC12" s="1" t="s">
        <v>47</v>
      </c>
    </row>
    <row r="13" spans="1:31" x14ac:dyDescent="0.25">
      <c r="C13" s="1" t="s">
        <v>48</v>
      </c>
      <c r="E13" s="1">
        <f t="shared" si="0"/>
        <v>10</v>
      </c>
      <c r="F13" s="7">
        <f t="shared" si="1"/>
        <v>1</v>
      </c>
      <c r="G13" s="1">
        <f t="shared" si="2"/>
        <v>10</v>
      </c>
      <c r="K13" s="11">
        <v>0</v>
      </c>
      <c r="L13" s="13">
        <v>1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3">
        <v>0</v>
      </c>
      <c r="S13" s="13">
        <v>0</v>
      </c>
      <c r="T13" s="13">
        <v>1</v>
      </c>
      <c r="U13" s="13">
        <v>0</v>
      </c>
      <c r="V13" s="13">
        <v>0</v>
      </c>
      <c r="W13" s="13">
        <v>0</v>
      </c>
      <c r="X13" s="13">
        <v>0</v>
      </c>
      <c r="Y13" s="13">
        <v>0</v>
      </c>
      <c r="Z13" s="13">
        <v>0</v>
      </c>
      <c r="AA13" s="14">
        <v>0</v>
      </c>
      <c r="AB13" s="15">
        <v>0</v>
      </c>
      <c r="AC13" s="1" t="s">
        <v>47</v>
      </c>
    </row>
    <row r="14" spans="1:31" x14ac:dyDescent="0.25">
      <c r="C14" s="1" t="s">
        <v>49</v>
      </c>
      <c r="E14" s="1">
        <f t="shared" si="0"/>
        <v>10</v>
      </c>
      <c r="F14" s="7">
        <f t="shared" si="1"/>
        <v>2</v>
      </c>
      <c r="G14" s="1">
        <f t="shared" si="2"/>
        <v>11</v>
      </c>
      <c r="K14" s="11">
        <v>0</v>
      </c>
      <c r="L14" s="13">
        <v>0</v>
      </c>
      <c r="M14" s="11">
        <v>0</v>
      </c>
      <c r="N14" s="11">
        <v>0</v>
      </c>
      <c r="O14" s="11">
        <v>0</v>
      </c>
      <c r="P14" s="11">
        <v>0</v>
      </c>
      <c r="Q14" s="11">
        <v>0</v>
      </c>
      <c r="R14" s="13">
        <v>1</v>
      </c>
      <c r="S14" s="13">
        <v>0</v>
      </c>
      <c r="T14" s="13">
        <v>1</v>
      </c>
      <c r="U14" s="13">
        <v>1</v>
      </c>
      <c r="V14" s="13">
        <v>0</v>
      </c>
      <c r="W14" s="13">
        <v>0</v>
      </c>
      <c r="X14" s="13">
        <v>0</v>
      </c>
      <c r="Y14" s="13">
        <v>0</v>
      </c>
      <c r="Z14" s="13">
        <v>0</v>
      </c>
      <c r="AA14" s="14">
        <v>0</v>
      </c>
      <c r="AB14" s="15">
        <v>0</v>
      </c>
      <c r="AC14" s="1" t="s">
        <v>47</v>
      </c>
    </row>
    <row r="15" spans="1:31" s="16" customFormat="1" x14ac:dyDescent="0.25">
      <c r="C15" s="16" t="s">
        <v>50</v>
      </c>
      <c r="E15" s="1">
        <f t="shared" si="0"/>
        <v>10</v>
      </c>
      <c r="F15" s="7">
        <f t="shared" si="1"/>
        <v>3</v>
      </c>
      <c r="G15" s="1">
        <f t="shared" si="2"/>
        <v>12</v>
      </c>
      <c r="K15" s="17">
        <v>0</v>
      </c>
      <c r="L15" s="17">
        <v>0</v>
      </c>
      <c r="M15" s="17">
        <v>0</v>
      </c>
      <c r="N15" s="17">
        <v>0</v>
      </c>
      <c r="O15" s="17">
        <v>0</v>
      </c>
      <c r="P15" s="17">
        <v>0</v>
      </c>
      <c r="Q15" s="17">
        <v>0</v>
      </c>
      <c r="R15" s="17">
        <v>0</v>
      </c>
      <c r="S15" s="17">
        <v>0</v>
      </c>
      <c r="T15" s="17">
        <v>0</v>
      </c>
      <c r="U15" s="17">
        <v>0</v>
      </c>
      <c r="V15" s="17">
        <v>0</v>
      </c>
      <c r="W15" s="17">
        <v>0</v>
      </c>
      <c r="X15" s="17">
        <v>0</v>
      </c>
      <c r="Y15" s="17">
        <v>0</v>
      </c>
      <c r="Z15" s="18">
        <v>0</v>
      </c>
      <c r="AA15" s="18">
        <v>0</v>
      </c>
      <c r="AB15" s="18">
        <v>0</v>
      </c>
      <c r="AC15" s="19"/>
    </row>
    <row r="16" spans="1:31" s="7" customFormat="1" x14ac:dyDescent="0.25">
      <c r="C16" s="7" t="s">
        <v>51</v>
      </c>
      <c r="E16" s="1">
        <f t="shared" si="0"/>
        <v>10</v>
      </c>
      <c r="F16" s="7">
        <f t="shared" si="1"/>
        <v>4</v>
      </c>
      <c r="G16" s="1">
        <f t="shared" si="2"/>
        <v>13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9">
        <v>0</v>
      </c>
      <c r="AB16" s="9">
        <v>0</v>
      </c>
      <c r="AC16" s="7" t="s">
        <v>52</v>
      </c>
      <c r="AE16" s="10" t="s">
        <v>33</v>
      </c>
    </row>
    <row r="17" spans="1:31" s="7" customFormat="1" x14ac:dyDescent="0.25">
      <c r="C17" s="7" t="s">
        <v>53</v>
      </c>
      <c r="E17" s="1">
        <f t="shared" si="0"/>
        <v>10</v>
      </c>
      <c r="F17" s="7">
        <f t="shared" si="1"/>
        <v>5</v>
      </c>
      <c r="G17" s="1">
        <f t="shared" si="2"/>
        <v>14</v>
      </c>
      <c r="K17" s="8">
        <v>0</v>
      </c>
      <c r="L17" s="8">
        <v>0</v>
      </c>
      <c r="M17" s="8">
        <v>0</v>
      </c>
      <c r="N17" s="8">
        <v>0</v>
      </c>
      <c r="O17" s="8">
        <v>0</v>
      </c>
      <c r="P17" s="8">
        <v>0</v>
      </c>
      <c r="Q17" s="8">
        <v>0</v>
      </c>
      <c r="R17" s="8">
        <v>0</v>
      </c>
      <c r="S17" s="8">
        <v>0</v>
      </c>
      <c r="T17" s="8">
        <v>0</v>
      </c>
      <c r="U17" s="8">
        <v>0</v>
      </c>
      <c r="V17" s="8">
        <v>0</v>
      </c>
      <c r="W17" s="8">
        <v>0</v>
      </c>
      <c r="X17" s="8">
        <v>0</v>
      </c>
      <c r="Y17" s="8">
        <v>0</v>
      </c>
      <c r="Z17" s="8">
        <v>0</v>
      </c>
      <c r="AA17" s="9">
        <v>0</v>
      </c>
      <c r="AB17" s="9">
        <v>0</v>
      </c>
      <c r="AC17" s="7" t="s">
        <v>54</v>
      </c>
      <c r="AE17" s="10" t="s">
        <v>33</v>
      </c>
    </row>
    <row r="18" spans="1:31" s="7" customFormat="1" x14ac:dyDescent="0.25">
      <c r="C18" s="7" t="s">
        <v>55</v>
      </c>
      <c r="E18" s="1">
        <f t="shared" si="0"/>
        <v>10</v>
      </c>
      <c r="F18" s="7">
        <f t="shared" si="1"/>
        <v>6</v>
      </c>
      <c r="G18" s="1">
        <f t="shared" si="2"/>
        <v>15</v>
      </c>
      <c r="K18" s="8">
        <v>0</v>
      </c>
      <c r="L18" s="8">
        <v>0</v>
      </c>
      <c r="M18" s="8">
        <v>0</v>
      </c>
      <c r="N18" s="8">
        <v>0</v>
      </c>
      <c r="O18" s="8">
        <v>0</v>
      </c>
      <c r="P18" s="8">
        <v>0</v>
      </c>
      <c r="Q18" s="8">
        <v>0</v>
      </c>
      <c r="R18" s="8">
        <v>0</v>
      </c>
      <c r="S18" s="8">
        <v>0</v>
      </c>
      <c r="T18" s="8">
        <v>0</v>
      </c>
      <c r="U18" s="8">
        <v>0</v>
      </c>
      <c r="V18" s="8">
        <v>0</v>
      </c>
      <c r="W18" s="8">
        <v>0</v>
      </c>
      <c r="X18" s="8">
        <v>0</v>
      </c>
      <c r="Y18" s="8">
        <v>0</v>
      </c>
      <c r="Z18" s="8">
        <v>0</v>
      </c>
      <c r="AA18" s="9">
        <v>0</v>
      </c>
      <c r="AB18" s="9">
        <v>0</v>
      </c>
      <c r="AC18" s="7" t="s">
        <v>56</v>
      </c>
      <c r="AE18" s="10" t="s">
        <v>33</v>
      </c>
    </row>
    <row r="19" spans="1:31" s="16" customFormat="1" x14ac:dyDescent="0.25">
      <c r="C19" s="16" t="s">
        <v>50</v>
      </c>
      <c r="E19" s="1">
        <f t="shared" si="0"/>
        <v>10</v>
      </c>
      <c r="F19" s="7">
        <f t="shared" si="1"/>
        <v>7</v>
      </c>
      <c r="G19" s="1">
        <f t="shared" si="2"/>
        <v>16</v>
      </c>
      <c r="K19" s="17">
        <v>0</v>
      </c>
      <c r="L19" s="17">
        <v>0</v>
      </c>
      <c r="M19" s="17">
        <v>0</v>
      </c>
      <c r="N19" s="17">
        <v>0</v>
      </c>
      <c r="O19" s="17">
        <v>0</v>
      </c>
      <c r="P19" s="17">
        <v>0</v>
      </c>
      <c r="Q19" s="17">
        <v>0</v>
      </c>
      <c r="R19" s="17">
        <v>0</v>
      </c>
      <c r="S19" s="17">
        <v>0</v>
      </c>
      <c r="T19" s="17">
        <v>0</v>
      </c>
      <c r="U19" s="17">
        <v>0</v>
      </c>
      <c r="V19" s="17">
        <v>0</v>
      </c>
      <c r="W19" s="17">
        <v>0</v>
      </c>
      <c r="X19" s="17">
        <v>0</v>
      </c>
      <c r="Y19" s="17">
        <v>0</v>
      </c>
      <c r="Z19" s="18">
        <v>0</v>
      </c>
      <c r="AA19" s="18">
        <v>0</v>
      </c>
      <c r="AB19" s="18">
        <v>0</v>
      </c>
      <c r="AC19" s="19" t="s">
        <v>50</v>
      </c>
    </row>
    <row r="20" spans="1:31" x14ac:dyDescent="0.25">
      <c r="A20" s="1" t="s">
        <v>57</v>
      </c>
      <c r="B20" s="1" t="s">
        <v>58</v>
      </c>
      <c r="C20" s="1" t="s">
        <v>59</v>
      </c>
      <c r="E20" s="1">
        <f t="shared" si="0"/>
        <v>9</v>
      </c>
      <c r="F20" s="7">
        <f t="shared" si="1"/>
        <v>0</v>
      </c>
      <c r="G20" s="1">
        <f t="shared" si="2"/>
        <v>17</v>
      </c>
      <c r="K20" s="13">
        <v>0</v>
      </c>
      <c r="L20" s="11">
        <v>0</v>
      </c>
      <c r="M20" s="13">
        <v>0</v>
      </c>
      <c r="N20" s="13">
        <v>0</v>
      </c>
      <c r="O20" s="13">
        <v>1</v>
      </c>
      <c r="P20" s="13">
        <v>1</v>
      </c>
      <c r="Q20" s="13">
        <v>0</v>
      </c>
      <c r="R20" s="11">
        <v>0</v>
      </c>
      <c r="S20" s="11">
        <v>0</v>
      </c>
      <c r="T20" s="11">
        <v>0</v>
      </c>
      <c r="U20" s="11">
        <v>0</v>
      </c>
      <c r="V20" s="11">
        <v>0</v>
      </c>
      <c r="W20" s="11">
        <v>0</v>
      </c>
      <c r="X20" s="11">
        <v>0</v>
      </c>
      <c r="Y20" s="11">
        <v>0</v>
      </c>
      <c r="Z20" s="11">
        <v>0</v>
      </c>
      <c r="AA20" s="14">
        <v>0</v>
      </c>
      <c r="AB20" s="15">
        <v>0</v>
      </c>
      <c r="AC20" s="1" t="s">
        <v>60</v>
      </c>
    </row>
    <row r="21" spans="1:31" x14ac:dyDescent="0.25">
      <c r="C21" s="1" t="s">
        <v>61</v>
      </c>
      <c r="E21" s="1">
        <f t="shared" si="0"/>
        <v>9</v>
      </c>
      <c r="F21" s="7">
        <f t="shared" si="1"/>
        <v>1</v>
      </c>
      <c r="G21" s="1">
        <f t="shared" si="2"/>
        <v>18</v>
      </c>
      <c r="K21" s="13">
        <v>0</v>
      </c>
      <c r="L21" s="11">
        <v>0</v>
      </c>
      <c r="M21" s="13">
        <v>0</v>
      </c>
      <c r="N21" s="13">
        <v>0</v>
      </c>
      <c r="O21" s="13">
        <v>0</v>
      </c>
      <c r="P21" s="13">
        <v>0</v>
      </c>
      <c r="Q21" s="13">
        <v>1</v>
      </c>
      <c r="R21" s="11">
        <v>0</v>
      </c>
      <c r="S21" s="11">
        <v>0</v>
      </c>
      <c r="T21" s="11">
        <v>0</v>
      </c>
      <c r="U21" s="11">
        <v>0</v>
      </c>
      <c r="V21" s="11">
        <v>0</v>
      </c>
      <c r="W21" s="11">
        <v>0</v>
      </c>
      <c r="X21" s="11">
        <v>0</v>
      </c>
      <c r="Y21" s="11">
        <v>0</v>
      </c>
      <c r="Z21" s="11">
        <v>0</v>
      </c>
      <c r="AA21" s="14">
        <v>0</v>
      </c>
      <c r="AB21" s="15">
        <v>0</v>
      </c>
      <c r="AC21" s="1" t="s">
        <v>60</v>
      </c>
    </row>
    <row r="22" spans="1:31" x14ac:dyDescent="0.25">
      <c r="C22" s="1" t="s">
        <v>62</v>
      </c>
      <c r="E22" s="1">
        <f t="shared" si="0"/>
        <v>9</v>
      </c>
      <c r="F22" s="7">
        <f t="shared" si="1"/>
        <v>2</v>
      </c>
      <c r="G22" s="1">
        <f t="shared" si="2"/>
        <v>19</v>
      </c>
      <c r="K22" s="13">
        <v>1</v>
      </c>
      <c r="L22" s="11">
        <v>0</v>
      </c>
      <c r="M22" s="13">
        <v>0</v>
      </c>
      <c r="N22" s="13">
        <v>0</v>
      </c>
      <c r="O22" s="13">
        <v>0</v>
      </c>
      <c r="P22" s="13">
        <v>0</v>
      </c>
      <c r="Q22" s="13">
        <v>0</v>
      </c>
      <c r="R22" s="11">
        <v>0</v>
      </c>
      <c r="S22" s="11">
        <v>0</v>
      </c>
      <c r="T22" s="11">
        <v>0</v>
      </c>
      <c r="U22" s="11">
        <v>0</v>
      </c>
      <c r="V22" s="11">
        <v>0</v>
      </c>
      <c r="W22" s="11">
        <v>0</v>
      </c>
      <c r="X22" s="11">
        <v>0</v>
      </c>
      <c r="Y22" s="11">
        <v>0</v>
      </c>
      <c r="Z22" s="11">
        <v>0</v>
      </c>
      <c r="AA22" s="14">
        <v>0</v>
      </c>
      <c r="AB22" s="15">
        <v>0</v>
      </c>
      <c r="AC22" s="1" t="s">
        <v>60</v>
      </c>
    </row>
    <row r="23" spans="1:31" x14ac:dyDescent="0.25">
      <c r="C23" s="1" t="s">
        <v>63</v>
      </c>
      <c r="E23" s="1">
        <f t="shared" si="0"/>
        <v>9</v>
      </c>
      <c r="F23" s="7">
        <f t="shared" si="1"/>
        <v>3</v>
      </c>
      <c r="G23" s="1">
        <f t="shared" si="2"/>
        <v>20</v>
      </c>
      <c r="K23" s="13">
        <v>0</v>
      </c>
      <c r="L23" s="11">
        <v>0</v>
      </c>
      <c r="M23" s="13">
        <v>1</v>
      </c>
      <c r="N23" s="13">
        <v>1</v>
      </c>
      <c r="O23" s="13">
        <v>0</v>
      </c>
      <c r="P23" s="13">
        <v>0</v>
      </c>
      <c r="Q23" s="13">
        <v>0</v>
      </c>
      <c r="R23" s="11">
        <v>0</v>
      </c>
      <c r="S23" s="11">
        <v>0</v>
      </c>
      <c r="T23" s="11">
        <v>0</v>
      </c>
      <c r="U23" s="11">
        <v>0</v>
      </c>
      <c r="V23" s="11">
        <v>0</v>
      </c>
      <c r="W23" s="11">
        <v>0</v>
      </c>
      <c r="X23" s="11">
        <v>0</v>
      </c>
      <c r="Y23" s="11">
        <v>0</v>
      </c>
      <c r="Z23" s="11">
        <v>0</v>
      </c>
      <c r="AA23" s="14">
        <v>0</v>
      </c>
      <c r="AB23" s="15">
        <v>0</v>
      </c>
      <c r="AC23" s="1" t="s">
        <v>60</v>
      </c>
    </row>
    <row r="24" spans="1:31" x14ac:dyDescent="0.25">
      <c r="C24" s="1" t="s">
        <v>64</v>
      </c>
      <c r="E24" s="1">
        <f t="shared" si="0"/>
        <v>9</v>
      </c>
      <c r="F24" s="7">
        <f t="shared" si="1"/>
        <v>4</v>
      </c>
      <c r="G24" s="1">
        <f t="shared" si="2"/>
        <v>21</v>
      </c>
      <c r="K24" s="13">
        <v>1</v>
      </c>
      <c r="L24" s="13">
        <v>0</v>
      </c>
      <c r="M24" s="13">
        <v>1</v>
      </c>
      <c r="N24" s="13">
        <v>1</v>
      </c>
      <c r="O24" s="13">
        <v>1</v>
      </c>
      <c r="P24" s="13">
        <v>1</v>
      </c>
      <c r="Q24" s="13">
        <v>1</v>
      </c>
      <c r="R24" s="13">
        <v>0</v>
      </c>
      <c r="S24" s="13">
        <v>0</v>
      </c>
      <c r="T24" s="13">
        <v>0</v>
      </c>
      <c r="U24" s="13">
        <v>0</v>
      </c>
      <c r="V24" s="13">
        <v>0</v>
      </c>
      <c r="W24" s="13">
        <v>0</v>
      </c>
      <c r="X24" s="13">
        <v>0</v>
      </c>
      <c r="Y24" s="13">
        <v>0</v>
      </c>
      <c r="Z24" s="13">
        <v>0</v>
      </c>
      <c r="AA24" s="14">
        <v>0</v>
      </c>
      <c r="AB24" s="15">
        <v>0</v>
      </c>
      <c r="AC24" s="1" t="s">
        <v>65</v>
      </c>
    </row>
    <row r="25" spans="1:31" x14ac:dyDescent="0.25">
      <c r="C25" s="1" t="s">
        <v>66</v>
      </c>
      <c r="E25" s="1">
        <f t="shared" si="0"/>
        <v>9</v>
      </c>
      <c r="F25" s="7">
        <f t="shared" si="1"/>
        <v>5</v>
      </c>
      <c r="G25" s="1">
        <f t="shared" si="2"/>
        <v>22</v>
      </c>
      <c r="K25" s="11">
        <v>0</v>
      </c>
      <c r="L25" s="11">
        <v>0</v>
      </c>
      <c r="M25" s="11">
        <v>0</v>
      </c>
      <c r="N25" s="11">
        <v>0</v>
      </c>
      <c r="O25" s="13">
        <v>1</v>
      </c>
      <c r="P25" s="13">
        <v>0</v>
      </c>
      <c r="Q25" s="11">
        <v>0</v>
      </c>
      <c r="R25" s="11">
        <v>0</v>
      </c>
      <c r="S25" s="11">
        <v>0</v>
      </c>
      <c r="T25" s="11">
        <v>0</v>
      </c>
      <c r="U25" s="11">
        <v>0</v>
      </c>
      <c r="V25" s="11">
        <v>0</v>
      </c>
      <c r="W25" s="11">
        <v>0</v>
      </c>
      <c r="X25" s="11">
        <v>0</v>
      </c>
      <c r="Y25" s="11">
        <v>0</v>
      </c>
      <c r="Z25" s="11">
        <v>0</v>
      </c>
      <c r="AA25" s="14">
        <v>0</v>
      </c>
      <c r="AB25" s="15">
        <v>0</v>
      </c>
      <c r="AC25" s="1" t="s">
        <v>67</v>
      </c>
    </row>
    <row r="26" spans="1:31" x14ac:dyDescent="0.25">
      <c r="C26" s="1" t="s">
        <v>43</v>
      </c>
      <c r="E26" s="1">
        <f t="shared" si="0"/>
        <v>9</v>
      </c>
      <c r="F26" s="7">
        <f t="shared" si="1"/>
        <v>6</v>
      </c>
      <c r="G26" s="1">
        <f t="shared" si="2"/>
        <v>23</v>
      </c>
      <c r="K26" s="11">
        <v>0</v>
      </c>
      <c r="L26" s="11">
        <v>0</v>
      </c>
      <c r="M26" s="13">
        <v>0</v>
      </c>
      <c r="N26" s="13">
        <v>1</v>
      </c>
      <c r="O26" s="11">
        <v>0</v>
      </c>
      <c r="P26" s="11">
        <v>0</v>
      </c>
      <c r="Q26" s="11">
        <v>0</v>
      </c>
      <c r="R26" s="11">
        <v>0</v>
      </c>
      <c r="S26" s="11">
        <v>0</v>
      </c>
      <c r="T26" s="11">
        <v>0</v>
      </c>
      <c r="U26" s="11">
        <v>0</v>
      </c>
      <c r="V26" s="11">
        <v>0</v>
      </c>
      <c r="W26" s="11">
        <v>0</v>
      </c>
      <c r="X26" s="11">
        <v>0</v>
      </c>
      <c r="Y26" s="11">
        <v>0</v>
      </c>
      <c r="Z26" s="11">
        <v>0</v>
      </c>
      <c r="AA26" s="14">
        <v>0</v>
      </c>
      <c r="AB26" s="15">
        <v>0</v>
      </c>
      <c r="AC26" s="1" t="s">
        <v>68</v>
      </c>
    </row>
    <row r="27" spans="1:31" s="16" customFormat="1" x14ac:dyDescent="0.25">
      <c r="C27" s="16" t="s">
        <v>50</v>
      </c>
      <c r="E27" s="1">
        <f t="shared" si="0"/>
        <v>9</v>
      </c>
      <c r="F27" s="7">
        <f t="shared" si="1"/>
        <v>7</v>
      </c>
      <c r="G27" s="1">
        <f t="shared" si="2"/>
        <v>24</v>
      </c>
      <c r="K27" s="17">
        <v>0</v>
      </c>
      <c r="L27" s="17">
        <v>0</v>
      </c>
      <c r="M27" s="17">
        <v>0</v>
      </c>
      <c r="N27" s="17">
        <v>0</v>
      </c>
      <c r="O27" s="17">
        <v>0</v>
      </c>
      <c r="P27" s="17">
        <v>0</v>
      </c>
      <c r="Q27" s="17">
        <v>0</v>
      </c>
      <c r="R27" s="17">
        <v>0</v>
      </c>
      <c r="S27" s="17">
        <v>0</v>
      </c>
      <c r="T27" s="17">
        <v>0</v>
      </c>
      <c r="U27" s="17">
        <v>0</v>
      </c>
      <c r="V27" s="17">
        <v>0</v>
      </c>
      <c r="W27" s="17">
        <v>0</v>
      </c>
      <c r="X27" s="17">
        <v>0</v>
      </c>
      <c r="Y27" s="17">
        <v>0</v>
      </c>
      <c r="Z27" s="18">
        <v>0</v>
      </c>
      <c r="AA27" s="18">
        <v>0</v>
      </c>
      <c r="AB27" s="18">
        <v>0</v>
      </c>
      <c r="AC27" s="19" t="s">
        <v>50</v>
      </c>
    </row>
    <row r="28" spans="1:31" s="7" customFormat="1" x14ac:dyDescent="0.25">
      <c r="B28" s="7" t="s">
        <v>69</v>
      </c>
      <c r="C28" s="7" t="s">
        <v>70</v>
      </c>
      <c r="E28" s="1">
        <f t="shared" si="0"/>
        <v>8</v>
      </c>
      <c r="F28" s="7">
        <f t="shared" si="1"/>
        <v>0</v>
      </c>
      <c r="G28" s="1">
        <f t="shared" si="2"/>
        <v>25</v>
      </c>
      <c r="K28" s="8">
        <v>0</v>
      </c>
      <c r="L28" s="20">
        <v>0</v>
      </c>
      <c r="M28" s="8">
        <v>0</v>
      </c>
      <c r="N28" s="8">
        <v>0</v>
      </c>
      <c r="O28" s="8">
        <v>0</v>
      </c>
      <c r="P28" s="8">
        <v>0</v>
      </c>
      <c r="Q28" s="8">
        <v>0</v>
      </c>
      <c r="R28" s="8">
        <v>0</v>
      </c>
      <c r="S28" s="20">
        <v>0</v>
      </c>
      <c r="T28" s="20">
        <v>0</v>
      </c>
      <c r="U28" s="20">
        <v>0</v>
      </c>
      <c r="V28" s="20">
        <v>0</v>
      </c>
      <c r="W28" s="20">
        <v>0</v>
      </c>
      <c r="X28" s="20">
        <v>0</v>
      </c>
      <c r="Y28" s="20">
        <v>0</v>
      </c>
      <c r="Z28" s="20">
        <v>0</v>
      </c>
      <c r="AA28" s="9">
        <v>0</v>
      </c>
      <c r="AB28" s="9">
        <v>0</v>
      </c>
      <c r="AC28" s="7" t="s">
        <v>71</v>
      </c>
      <c r="AE28" s="10" t="s">
        <v>33</v>
      </c>
    </row>
    <row r="29" spans="1:31" x14ac:dyDescent="0.25">
      <c r="C29" s="1" t="s">
        <v>50</v>
      </c>
      <c r="E29" s="1">
        <f t="shared" si="0"/>
        <v>8</v>
      </c>
      <c r="F29" s="7">
        <f t="shared" si="1"/>
        <v>1</v>
      </c>
      <c r="G29" s="1">
        <f t="shared" si="2"/>
        <v>26</v>
      </c>
      <c r="K29" s="21">
        <v>0</v>
      </c>
      <c r="L29" s="21">
        <v>0</v>
      </c>
      <c r="M29" s="21">
        <v>0</v>
      </c>
      <c r="N29" s="21">
        <v>0</v>
      </c>
      <c r="O29" s="21">
        <v>0</v>
      </c>
      <c r="P29" s="21">
        <v>0</v>
      </c>
      <c r="Q29" s="21">
        <v>0</v>
      </c>
      <c r="R29" s="21">
        <v>0</v>
      </c>
      <c r="S29" s="21">
        <v>0</v>
      </c>
      <c r="T29" s="21">
        <v>0</v>
      </c>
      <c r="U29" s="21">
        <v>0</v>
      </c>
      <c r="V29" s="21">
        <v>0</v>
      </c>
      <c r="W29" s="21">
        <v>0</v>
      </c>
      <c r="X29" s="21">
        <v>0</v>
      </c>
      <c r="Y29" s="21">
        <v>0</v>
      </c>
      <c r="Z29" s="21">
        <v>0</v>
      </c>
      <c r="AA29" s="14">
        <v>0</v>
      </c>
      <c r="AB29" s="15">
        <v>0</v>
      </c>
      <c r="AC29" s="1" t="s">
        <v>50</v>
      </c>
    </row>
    <row r="30" spans="1:31" x14ac:dyDescent="0.25">
      <c r="C30" s="1" t="s">
        <v>72</v>
      </c>
      <c r="E30" s="1">
        <f t="shared" si="0"/>
        <v>8</v>
      </c>
      <c r="F30" s="7">
        <f t="shared" si="1"/>
        <v>2</v>
      </c>
      <c r="G30" s="1">
        <f t="shared" si="2"/>
        <v>27</v>
      </c>
      <c r="K30" s="13">
        <v>0</v>
      </c>
      <c r="L30" s="11">
        <v>0</v>
      </c>
      <c r="M30" s="13">
        <v>0</v>
      </c>
      <c r="N30" s="13">
        <v>0</v>
      </c>
      <c r="O30" s="13">
        <v>1</v>
      </c>
      <c r="P30" s="13">
        <v>1</v>
      </c>
      <c r="Q30" s="13">
        <v>0</v>
      </c>
      <c r="R30" s="11">
        <v>0</v>
      </c>
      <c r="S30" s="11">
        <v>0</v>
      </c>
      <c r="T30" s="11">
        <v>0</v>
      </c>
      <c r="U30" s="11">
        <v>0</v>
      </c>
      <c r="V30" s="11">
        <v>0</v>
      </c>
      <c r="W30" s="11">
        <v>0</v>
      </c>
      <c r="X30" s="11">
        <v>0</v>
      </c>
      <c r="Y30" s="11">
        <v>0</v>
      </c>
      <c r="Z30" s="11">
        <v>0</v>
      </c>
      <c r="AA30" s="14">
        <v>0</v>
      </c>
      <c r="AB30" s="15">
        <v>0</v>
      </c>
      <c r="AC30" s="1" t="s">
        <v>73</v>
      </c>
    </row>
    <row r="31" spans="1:31" x14ac:dyDescent="0.25">
      <c r="C31" s="1" t="s">
        <v>74</v>
      </c>
      <c r="E31" s="1">
        <f t="shared" si="0"/>
        <v>8</v>
      </c>
      <c r="F31" s="7">
        <f t="shared" si="1"/>
        <v>3</v>
      </c>
      <c r="G31" s="1">
        <f t="shared" si="2"/>
        <v>28</v>
      </c>
      <c r="K31" s="13">
        <v>0</v>
      </c>
      <c r="L31" s="11">
        <v>0</v>
      </c>
      <c r="M31" s="13">
        <v>1</v>
      </c>
      <c r="N31" s="13">
        <v>1</v>
      </c>
      <c r="O31" s="13">
        <v>0</v>
      </c>
      <c r="P31" s="13">
        <v>0</v>
      </c>
      <c r="Q31" s="13">
        <v>0</v>
      </c>
      <c r="R31" s="11">
        <v>0</v>
      </c>
      <c r="S31" s="11">
        <v>0</v>
      </c>
      <c r="T31" s="11">
        <v>0</v>
      </c>
      <c r="U31" s="11">
        <v>0</v>
      </c>
      <c r="V31" s="11">
        <v>0</v>
      </c>
      <c r="W31" s="11">
        <v>0</v>
      </c>
      <c r="X31" s="11">
        <v>0</v>
      </c>
      <c r="Y31" s="11">
        <v>0</v>
      </c>
      <c r="Z31" s="11">
        <v>0</v>
      </c>
      <c r="AA31" s="14">
        <v>0</v>
      </c>
      <c r="AB31" s="15">
        <v>0</v>
      </c>
      <c r="AC31" s="1" t="s">
        <v>73</v>
      </c>
    </row>
    <row r="32" spans="1:31" x14ac:dyDescent="0.25">
      <c r="C32" s="1" t="s">
        <v>75</v>
      </c>
      <c r="E32" s="1">
        <f t="shared" si="0"/>
        <v>8</v>
      </c>
      <c r="F32" s="7">
        <f t="shared" si="1"/>
        <v>4</v>
      </c>
      <c r="G32" s="1">
        <f t="shared" si="2"/>
        <v>29</v>
      </c>
      <c r="K32" s="13">
        <v>0</v>
      </c>
      <c r="L32" s="11">
        <v>0</v>
      </c>
      <c r="M32" s="13">
        <v>0</v>
      </c>
      <c r="N32" s="13">
        <v>0</v>
      </c>
      <c r="O32" s="13">
        <v>0</v>
      </c>
      <c r="P32" s="13">
        <v>0</v>
      </c>
      <c r="Q32" s="13">
        <v>1</v>
      </c>
      <c r="R32" s="11">
        <v>0</v>
      </c>
      <c r="S32" s="11">
        <v>0</v>
      </c>
      <c r="T32" s="11">
        <v>0</v>
      </c>
      <c r="U32" s="11">
        <v>0</v>
      </c>
      <c r="V32" s="11">
        <v>0</v>
      </c>
      <c r="W32" s="11">
        <v>0</v>
      </c>
      <c r="X32" s="11">
        <v>0</v>
      </c>
      <c r="Y32" s="11">
        <v>0</v>
      </c>
      <c r="Z32" s="11">
        <v>0</v>
      </c>
      <c r="AA32" s="14">
        <v>0</v>
      </c>
      <c r="AB32" s="15">
        <v>0</v>
      </c>
      <c r="AC32" s="1" t="s">
        <v>73</v>
      </c>
    </row>
    <row r="33" spans="1:29" x14ac:dyDescent="0.25">
      <c r="C33" s="1" t="s">
        <v>76</v>
      </c>
      <c r="E33" s="1">
        <f t="shared" si="0"/>
        <v>8</v>
      </c>
      <c r="F33" s="7">
        <f t="shared" si="1"/>
        <v>5</v>
      </c>
      <c r="G33" s="1">
        <f t="shared" si="2"/>
        <v>30</v>
      </c>
      <c r="K33" s="13">
        <v>1</v>
      </c>
      <c r="L33" s="11">
        <v>0</v>
      </c>
      <c r="M33" s="13">
        <v>0</v>
      </c>
      <c r="N33" s="13">
        <v>0</v>
      </c>
      <c r="O33" s="13">
        <v>0</v>
      </c>
      <c r="P33" s="13">
        <v>0</v>
      </c>
      <c r="Q33" s="13">
        <v>0</v>
      </c>
      <c r="R33" s="11">
        <v>0</v>
      </c>
      <c r="S33" s="11">
        <v>0</v>
      </c>
      <c r="T33" s="11">
        <v>0</v>
      </c>
      <c r="U33" s="11">
        <v>0</v>
      </c>
      <c r="V33" s="11">
        <v>0</v>
      </c>
      <c r="W33" s="11">
        <v>0</v>
      </c>
      <c r="X33" s="11">
        <v>0</v>
      </c>
      <c r="Y33" s="11">
        <v>0</v>
      </c>
      <c r="Z33" s="11">
        <v>0</v>
      </c>
      <c r="AA33" s="14">
        <v>0</v>
      </c>
      <c r="AB33" s="15">
        <v>0</v>
      </c>
      <c r="AC33" s="1" t="s">
        <v>73</v>
      </c>
    </row>
    <row r="34" spans="1:29" s="16" customFormat="1" x14ac:dyDescent="0.25">
      <c r="C34" s="16" t="s">
        <v>50</v>
      </c>
      <c r="E34" s="1">
        <f t="shared" si="0"/>
        <v>8</v>
      </c>
      <c r="F34" s="7">
        <f t="shared" si="1"/>
        <v>6</v>
      </c>
      <c r="G34" s="1">
        <f t="shared" si="2"/>
        <v>31</v>
      </c>
      <c r="K34" s="17">
        <v>0</v>
      </c>
      <c r="L34" s="17">
        <v>0</v>
      </c>
      <c r="M34" s="17">
        <v>0</v>
      </c>
      <c r="N34" s="17">
        <v>0</v>
      </c>
      <c r="O34" s="17">
        <v>0</v>
      </c>
      <c r="P34" s="17">
        <v>0</v>
      </c>
      <c r="Q34" s="17">
        <v>0</v>
      </c>
      <c r="R34" s="17">
        <v>0</v>
      </c>
      <c r="S34" s="17">
        <v>0</v>
      </c>
      <c r="T34" s="17">
        <v>0</v>
      </c>
      <c r="U34" s="17">
        <v>0</v>
      </c>
      <c r="V34" s="17">
        <v>0</v>
      </c>
      <c r="W34" s="17">
        <v>0</v>
      </c>
      <c r="X34" s="17">
        <v>0</v>
      </c>
      <c r="Y34" s="17">
        <v>0</v>
      </c>
      <c r="Z34" s="18">
        <v>0</v>
      </c>
      <c r="AA34" s="18">
        <v>0</v>
      </c>
      <c r="AB34" s="18">
        <v>0</v>
      </c>
      <c r="AC34" s="19" t="s">
        <v>50</v>
      </c>
    </row>
    <row r="35" spans="1:29" s="16" customFormat="1" x14ac:dyDescent="0.25">
      <c r="C35" s="16" t="s">
        <v>50</v>
      </c>
      <c r="E35" s="1">
        <f t="shared" si="0"/>
        <v>8</v>
      </c>
      <c r="F35" s="7">
        <f t="shared" si="1"/>
        <v>7</v>
      </c>
      <c r="G35" s="1">
        <f t="shared" si="2"/>
        <v>32</v>
      </c>
      <c r="K35" s="17">
        <v>0</v>
      </c>
      <c r="L35" s="17">
        <v>0</v>
      </c>
      <c r="M35" s="17">
        <v>0</v>
      </c>
      <c r="N35" s="17">
        <v>0</v>
      </c>
      <c r="O35" s="17">
        <v>0</v>
      </c>
      <c r="P35" s="17">
        <v>0</v>
      </c>
      <c r="Q35" s="17">
        <v>0</v>
      </c>
      <c r="R35" s="17">
        <v>0</v>
      </c>
      <c r="S35" s="17">
        <v>0</v>
      </c>
      <c r="T35" s="17">
        <v>0</v>
      </c>
      <c r="U35" s="17">
        <v>0</v>
      </c>
      <c r="V35" s="17">
        <v>0</v>
      </c>
      <c r="W35" s="17">
        <v>0</v>
      </c>
      <c r="X35" s="17">
        <v>0</v>
      </c>
      <c r="Y35" s="17">
        <v>0</v>
      </c>
      <c r="Z35" s="18">
        <v>0</v>
      </c>
      <c r="AA35" s="18">
        <v>0</v>
      </c>
      <c r="AB35" s="18">
        <v>0</v>
      </c>
      <c r="AC35" s="19" t="s">
        <v>50</v>
      </c>
    </row>
    <row r="36" spans="1:29" s="16" customFormat="1" x14ac:dyDescent="0.25">
      <c r="A36" s="16" t="s">
        <v>77</v>
      </c>
      <c r="B36" s="16" t="s">
        <v>78</v>
      </c>
      <c r="C36" s="16" t="s">
        <v>50</v>
      </c>
      <c r="E36" s="1">
        <f t="shared" ref="E36:E67" si="3">IF(AND(NOT(ISBLANK(E44)), (E37 = E44)), E37+1, E37)</f>
        <v>7</v>
      </c>
      <c r="F36" s="7">
        <f t="shared" ref="F36:F67" si="4">MOD((F37-1),8)</f>
        <v>0</v>
      </c>
      <c r="G36" s="1">
        <f t="shared" ref="G36:G67" si="5">G35+1</f>
        <v>33</v>
      </c>
      <c r="K36" s="17">
        <v>0</v>
      </c>
      <c r="L36" s="17">
        <v>0</v>
      </c>
      <c r="M36" s="17">
        <v>0</v>
      </c>
      <c r="N36" s="17">
        <v>0</v>
      </c>
      <c r="O36" s="17">
        <v>0</v>
      </c>
      <c r="P36" s="17">
        <v>0</v>
      </c>
      <c r="Q36" s="17">
        <v>0</v>
      </c>
      <c r="R36" s="17">
        <v>0</v>
      </c>
      <c r="S36" s="17">
        <v>0</v>
      </c>
      <c r="T36" s="17">
        <v>0</v>
      </c>
      <c r="U36" s="17">
        <v>0</v>
      </c>
      <c r="V36" s="17">
        <v>0</v>
      </c>
      <c r="W36" s="17">
        <v>0</v>
      </c>
      <c r="X36" s="17">
        <v>0</v>
      </c>
      <c r="Y36" s="17">
        <v>0</v>
      </c>
      <c r="Z36" s="18">
        <v>0</v>
      </c>
      <c r="AA36" s="18">
        <v>0</v>
      </c>
      <c r="AB36" s="18">
        <v>0</v>
      </c>
      <c r="AC36" s="19" t="s">
        <v>50</v>
      </c>
    </row>
    <row r="37" spans="1:29" s="16" customFormat="1" x14ac:dyDescent="0.25">
      <c r="C37" s="16" t="s">
        <v>50</v>
      </c>
      <c r="E37" s="1">
        <f t="shared" si="3"/>
        <v>7</v>
      </c>
      <c r="F37" s="7">
        <f t="shared" si="4"/>
        <v>1</v>
      </c>
      <c r="G37" s="1">
        <f t="shared" si="5"/>
        <v>34</v>
      </c>
      <c r="K37" s="17">
        <v>0</v>
      </c>
      <c r="L37" s="17">
        <v>0</v>
      </c>
      <c r="M37" s="17">
        <v>0</v>
      </c>
      <c r="N37" s="17">
        <v>0</v>
      </c>
      <c r="O37" s="17">
        <v>0</v>
      </c>
      <c r="P37" s="17">
        <v>0</v>
      </c>
      <c r="Q37" s="17">
        <v>0</v>
      </c>
      <c r="R37" s="17">
        <v>0</v>
      </c>
      <c r="S37" s="17">
        <v>0</v>
      </c>
      <c r="T37" s="17">
        <v>0</v>
      </c>
      <c r="U37" s="17">
        <v>0</v>
      </c>
      <c r="V37" s="17">
        <v>0</v>
      </c>
      <c r="W37" s="17">
        <v>0</v>
      </c>
      <c r="X37" s="17">
        <v>0</v>
      </c>
      <c r="Y37" s="17">
        <v>0</v>
      </c>
      <c r="Z37" s="18">
        <v>0</v>
      </c>
      <c r="AA37" s="18">
        <v>0</v>
      </c>
      <c r="AB37" s="18">
        <v>0</v>
      </c>
      <c r="AC37" s="19" t="s">
        <v>50</v>
      </c>
    </row>
    <row r="38" spans="1:29" x14ac:dyDescent="0.25">
      <c r="C38" s="1" t="s">
        <v>64</v>
      </c>
      <c r="E38" s="1">
        <f t="shared" si="3"/>
        <v>7</v>
      </c>
      <c r="F38" s="7">
        <f t="shared" si="4"/>
        <v>2</v>
      </c>
      <c r="G38" s="1">
        <f t="shared" si="5"/>
        <v>35</v>
      </c>
      <c r="K38" s="13">
        <v>0</v>
      </c>
      <c r="L38" s="13">
        <v>1</v>
      </c>
      <c r="M38" s="13">
        <v>0</v>
      </c>
      <c r="N38" s="13">
        <v>0</v>
      </c>
      <c r="O38" s="13">
        <v>0</v>
      </c>
      <c r="P38" s="13">
        <v>0</v>
      </c>
      <c r="Q38" s="13">
        <v>0</v>
      </c>
      <c r="R38" s="13">
        <v>1</v>
      </c>
      <c r="S38" s="13">
        <v>1</v>
      </c>
      <c r="T38" s="13">
        <v>1</v>
      </c>
      <c r="U38" s="13">
        <v>1</v>
      </c>
      <c r="V38" s="13">
        <v>0</v>
      </c>
      <c r="W38" s="13">
        <v>0</v>
      </c>
      <c r="X38" s="13">
        <v>0</v>
      </c>
      <c r="Y38" s="13">
        <v>0</v>
      </c>
      <c r="Z38" s="13">
        <v>0</v>
      </c>
      <c r="AA38" s="14">
        <v>0</v>
      </c>
      <c r="AB38" s="15">
        <v>0</v>
      </c>
      <c r="AC38" s="1" t="s">
        <v>79</v>
      </c>
    </row>
    <row r="39" spans="1:29" s="16" customFormat="1" x14ac:dyDescent="0.25">
      <c r="C39" s="16" t="s">
        <v>50</v>
      </c>
      <c r="E39" s="1">
        <f t="shared" si="3"/>
        <v>7</v>
      </c>
      <c r="F39" s="7">
        <f t="shared" si="4"/>
        <v>3</v>
      </c>
      <c r="G39" s="1">
        <f t="shared" si="5"/>
        <v>36</v>
      </c>
      <c r="K39" s="17">
        <v>0</v>
      </c>
      <c r="L39" s="17">
        <v>0</v>
      </c>
      <c r="M39" s="17">
        <v>0</v>
      </c>
      <c r="N39" s="17">
        <v>0</v>
      </c>
      <c r="O39" s="17">
        <v>0</v>
      </c>
      <c r="P39" s="17">
        <v>0</v>
      </c>
      <c r="Q39" s="17">
        <v>0</v>
      </c>
      <c r="R39" s="17">
        <v>0</v>
      </c>
      <c r="S39" s="17">
        <v>0</v>
      </c>
      <c r="T39" s="17">
        <v>0</v>
      </c>
      <c r="U39" s="17">
        <v>0</v>
      </c>
      <c r="V39" s="17">
        <v>0</v>
      </c>
      <c r="W39" s="17">
        <v>0</v>
      </c>
      <c r="X39" s="17">
        <v>0</v>
      </c>
      <c r="Y39" s="17">
        <v>0</v>
      </c>
      <c r="Z39" s="18">
        <v>0</v>
      </c>
      <c r="AA39" s="18">
        <v>0</v>
      </c>
      <c r="AB39" s="18">
        <v>0</v>
      </c>
      <c r="AC39" s="19" t="s">
        <v>50</v>
      </c>
    </row>
    <row r="40" spans="1:29" x14ac:dyDescent="0.25">
      <c r="C40" s="1" t="s">
        <v>75</v>
      </c>
      <c r="E40" s="1">
        <f t="shared" si="3"/>
        <v>7</v>
      </c>
      <c r="F40" s="7">
        <f t="shared" si="4"/>
        <v>4</v>
      </c>
      <c r="G40" s="1">
        <f t="shared" si="5"/>
        <v>37</v>
      </c>
      <c r="K40" s="11">
        <v>0</v>
      </c>
      <c r="L40" s="13">
        <v>1</v>
      </c>
      <c r="M40" s="11">
        <v>0</v>
      </c>
      <c r="N40" s="11">
        <v>0</v>
      </c>
      <c r="O40" s="11">
        <v>0</v>
      </c>
      <c r="P40" s="11">
        <v>0</v>
      </c>
      <c r="Q40" s="11">
        <v>0</v>
      </c>
      <c r="R40" s="13">
        <v>0</v>
      </c>
      <c r="S40" s="13">
        <v>1</v>
      </c>
      <c r="T40" s="13">
        <v>0</v>
      </c>
      <c r="U40" s="13">
        <v>0</v>
      </c>
      <c r="V40" s="11">
        <v>0</v>
      </c>
      <c r="W40" s="11">
        <v>0</v>
      </c>
      <c r="X40" s="11">
        <v>0</v>
      </c>
      <c r="Y40" s="11">
        <v>0</v>
      </c>
      <c r="Z40" s="11">
        <v>0</v>
      </c>
      <c r="AA40" s="14">
        <v>0</v>
      </c>
      <c r="AB40" s="15">
        <v>0</v>
      </c>
      <c r="AC40" s="1" t="s">
        <v>80</v>
      </c>
    </row>
    <row r="41" spans="1:29" x14ac:dyDescent="0.25">
      <c r="C41" s="1" t="s">
        <v>76</v>
      </c>
      <c r="E41" s="1">
        <f t="shared" si="3"/>
        <v>7</v>
      </c>
      <c r="F41" s="7">
        <f t="shared" si="4"/>
        <v>5</v>
      </c>
      <c r="G41" s="1">
        <f t="shared" si="5"/>
        <v>38</v>
      </c>
      <c r="K41" s="11">
        <v>0</v>
      </c>
      <c r="L41" s="13">
        <v>1</v>
      </c>
      <c r="M41" s="11">
        <v>0</v>
      </c>
      <c r="N41" s="11">
        <v>0</v>
      </c>
      <c r="O41" s="11">
        <v>0</v>
      </c>
      <c r="P41" s="11">
        <v>0</v>
      </c>
      <c r="Q41" s="11">
        <v>0</v>
      </c>
      <c r="R41" s="13">
        <v>0</v>
      </c>
      <c r="S41" s="13">
        <v>0</v>
      </c>
      <c r="T41" s="13">
        <v>1</v>
      </c>
      <c r="U41" s="13">
        <v>0</v>
      </c>
      <c r="V41" s="11">
        <v>0</v>
      </c>
      <c r="W41" s="11">
        <v>0</v>
      </c>
      <c r="X41" s="11">
        <v>0</v>
      </c>
      <c r="Y41" s="11">
        <v>0</v>
      </c>
      <c r="Z41" s="11">
        <v>0</v>
      </c>
      <c r="AA41" s="14">
        <v>0</v>
      </c>
      <c r="AB41" s="15">
        <v>0</v>
      </c>
      <c r="AC41" s="1" t="s">
        <v>80</v>
      </c>
    </row>
    <row r="42" spans="1:29" x14ac:dyDescent="0.25">
      <c r="C42" s="1" t="s">
        <v>72</v>
      </c>
      <c r="E42" s="1">
        <f t="shared" si="3"/>
        <v>7</v>
      </c>
      <c r="F42" s="7">
        <f t="shared" si="4"/>
        <v>6</v>
      </c>
      <c r="G42" s="1">
        <f t="shared" si="5"/>
        <v>39</v>
      </c>
      <c r="K42" s="11">
        <v>0</v>
      </c>
      <c r="L42" s="13">
        <v>0</v>
      </c>
      <c r="M42" s="11">
        <v>0</v>
      </c>
      <c r="N42" s="11">
        <v>0</v>
      </c>
      <c r="O42" s="11">
        <v>0</v>
      </c>
      <c r="P42" s="11">
        <v>0</v>
      </c>
      <c r="Q42" s="11">
        <v>0</v>
      </c>
      <c r="R42" s="13">
        <v>1</v>
      </c>
      <c r="S42" s="13">
        <v>0</v>
      </c>
      <c r="T42" s="13">
        <v>0</v>
      </c>
      <c r="U42" s="13">
        <v>0</v>
      </c>
      <c r="V42" s="11">
        <v>0</v>
      </c>
      <c r="W42" s="11">
        <v>0</v>
      </c>
      <c r="X42" s="11">
        <v>0</v>
      </c>
      <c r="Y42" s="11">
        <v>0</v>
      </c>
      <c r="Z42" s="11">
        <v>0</v>
      </c>
      <c r="AA42" s="14">
        <v>0</v>
      </c>
      <c r="AB42" s="15">
        <v>0</v>
      </c>
      <c r="AC42" s="1" t="s">
        <v>80</v>
      </c>
    </row>
    <row r="43" spans="1:29" s="16" customFormat="1" x14ac:dyDescent="0.25">
      <c r="C43" s="16" t="s">
        <v>50</v>
      </c>
      <c r="E43" s="1">
        <f t="shared" si="3"/>
        <v>7</v>
      </c>
      <c r="F43" s="7">
        <f t="shared" si="4"/>
        <v>7</v>
      </c>
      <c r="G43" s="1">
        <f t="shared" si="5"/>
        <v>40</v>
      </c>
      <c r="K43" s="17">
        <v>0</v>
      </c>
      <c r="L43" s="17">
        <v>0</v>
      </c>
      <c r="M43" s="17">
        <v>0</v>
      </c>
      <c r="N43" s="17">
        <v>0</v>
      </c>
      <c r="O43" s="17">
        <v>0</v>
      </c>
      <c r="P43" s="17">
        <v>0</v>
      </c>
      <c r="Q43" s="17">
        <v>0</v>
      </c>
      <c r="R43" s="17">
        <v>0</v>
      </c>
      <c r="S43" s="17">
        <v>0</v>
      </c>
      <c r="T43" s="17">
        <v>0</v>
      </c>
      <c r="U43" s="17">
        <v>0</v>
      </c>
      <c r="V43" s="17">
        <v>0</v>
      </c>
      <c r="W43" s="17">
        <v>0</v>
      </c>
      <c r="X43" s="17">
        <v>0</v>
      </c>
      <c r="Y43" s="17">
        <v>0</v>
      </c>
      <c r="Z43" s="18">
        <v>0</v>
      </c>
      <c r="AA43" s="18">
        <v>0</v>
      </c>
      <c r="AB43" s="18">
        <v>0</v>
      </c>
      <c r="AC43" s="19" t="s">
        <v>50</v>
      </c>
    </row>
    <row r="44" spans="1:29" x14ac:dyDescent="0.25">
      <c r="A44" s="1" t="s">
        <v>81</v>
      </c>
      <c r="B44" s="1" t="s">
        <v>82</v>
      </c>
      <c r="C44" s="1" t="s">
        <v>83</v>
      </c>
      <c r="E44" s="1">
        <f t="shared" si="3"/>
        <v>6</v>
      </c>
      <c r="F44" s="7">
        <f t="shared" si="4"/>
        <v>0</v>
      </c>
      <c r="G44" s="1">
        <f t="shared" si="5"/>
        <v>41</v>
      </c>
      <c r="K44" s="13">
        <v>0</v>
      </c>
      <c r="L44" s="13">
        <v>0</v>
      </c>
      <c r="M44" s="13">
        <v>0</v>
      </c>
      <c r="N44" s="13">
        <v>0</v>
      </c>
      <c r="O44" s="13">
        <v>0</v>
      </c>
      <c r="P44" s="13">
        <v>0</v>
      </c>
      <c r="Q44" s="13">
        <v>0</v>
      </c>
      <c r="R44" s="13">
        <v>0</v>
      </c>
      <c r="S44" s="13">
        <v>0</v>
      </c>
      <c r="T44" s="13">
        <v>0</v>
      </c>
      <c r="U44" s="13">
        <v>0</v>
      </c>
      <c r="V44" s="13">
        <v>0</v>
      </c>
      <c r="W44" s="13">
        <v>0</v>
      </c>
      <c r="X44" s="13">
        <v>0</v>
      </c>
      <c r="Y44" s="13">
        <v>1</v>
      </c>
      <c r="Z44" s="13">
        <v>1</v>
      </c>
      <c r="AA44" s="14">
        <v>0</v>
      </c>
      <c r="AB44" s="15">
        <v>0</v>
      </c>
      <c r="AC44" s="1" t="s">
        <v>84</v>
      </c>
    </row>
    <row r="45" spans="1:29" x14ac:dyDescent="0.25">
      <c r="C45" s="1" t="s">
        <v>85</v>
      </c>
      <c r="E45" s="1">
        <f t="shared" si="3"/>
        <v>6</v>
      </c>
      <c r="F45" s="7">
        <f t="shared" si="4"/>
        <v>1</v>
      </c>
      <c r="G45" s="1">
        <f t="shared" si="5"/>
        <v>42</v>
      </c>
      <c r="K45" s="13">
        <v>0</v>
      </c>
      <c r="L45" s="13">
        <v>0</v>
      </c>
      <c r="M45" s="13">
        <v>0</v>
      </c>
      <c r="N45" s="13">
        <v>0</v>
      </c>
      <c r="O45" s="13">
        <v>0</v>
      </c>
      <c r="P45" s="13">
        <v>0</v>
      </c>
      <c r="Q45" s="13">
        <v>0</v>
      </c>
      <c r="R45" s="13">
        <v>0</v>
      </c>
      <c r="S45" s="13">
        <v>0</v>
      </c>
      <c r="T45" s="13">
        <v>0</v>
      </c>
      <c r="U45" s="13">
        <v>0</v>
      </c>
      <c r="V45" s="13">
        <v>1</v>
      </c>
      <c r="W45" s="13">
        <v>1</v>
      </c>
      <c r="X45" s="13">
        <v>1</v>
      </c>
      <c r="Y45" s="13">
        <v>0</v>
      </c>
      <c r="Z45" s="13">
        <v>0</v>
      </c>
      <c r="AA45" s="14">
        <v>0</v>
      </c>
      <c r="AB45" s="15">
        <v>0</v>
      </c>
      <c r="AC45" s="1" t="s">
        <v>86</v>
      </c>
    </row>
    <row r="46" spans="1:29" x14ac:dyDescent="0.25">
      <c r="C46" s="1" t="s">
        <v>87</v>
      </c>
      <c r="E46" s="1">
        <f t="shared" si="3"/>
        <v>6</v>
      </c>
      <c r="F46" s="7">
        <f t="shared" si="4"/>
        <v>2</v>
      </c>
      <c r="G46" s="1">
        <f t="shared" si="5"/>
        <v>43</v>
      </c>
      <c r="K46" s="13">
        <v>0</v>
      </c>
      <c r="L46" s="13">
        <v>0</v>
      </c>
      <c r="M46" s="13">
        <v>0</v>
      </c>
      <c r="N46" s="13">
        <v>0</v>
      </c>
      <c r="O46" s="13">
        <v>0</v>
      </c>
      <c r="P46" s="13">
        <v>0</v>
      </c>
      <c r="Q46" s="13">
        <v>0</v>
      </c>
      <c r="R46" s="13">
        <v>0</v>
      </c>
      <c r="S46" s="13">
        <v>0</v>
      </c>
      <c r="T46" s="13">
        <v>0</v>
      </c>
      <c r="U46" s="13">
        <v>0</v>
      </c>
      <c r="V46" s="13">
        <v>1</v>
      </c>
      <c r="W46" s="13">
        <v>1</v>
      </c>
      <c r="X46" s="13">
        <v>1</v>
      </c>
      <c r="Y46" s="13">
        <v>1</v>
      </c>
      <c r="Z46" s="13">
        <v>1</v>
      </c>
      <c r="AA46" s="14">
        <v>0</v>
      </c>
      <c r="AB46" s="15">
        <v>0</v>
      </c>
      <c r="AC46" s="1" t="s">
        <v>88</v>
      </c>
    </row>
    <row r="47" spans="1:29" s="16" customFormat="1" x14ac:dyDescent="0.25">
      <c r="C47" s="16" t="s">
        <v>50</v>
      </c>
      <c r="E47" s="1">
        <f t="shared" si="3"/>
        <v>6</v>
      </c>
      <c r="F47" s="7">
        <f t="shared" si="4"/>
        <v>3</v>
      </c>
      <c r="G47" s="1">
        <f t="shared" si="5"/>
        <v>44</v>
      </c>
      <c r="K47" s="17">
        <v>0</v>
      </c>
      <c r="L47" s="17">
        <v>0</v>
      </c>
      <c r="M47" s="17">
        <v>0</v>
      </c>
      <c r="N47" s="17">
        <v>0</v>
      </c>
      <c r="O47" s="17">
        <v>0</v>
      </c>
      <c r="P47" s="17">
        <v>0</v>
      </c>
      <c r="Q47" s="17">
        <v>0</v>
      </c>
      <c r="R47" s="17">
        <v>0</v>
      </c>
      <c r="S47" s="17">
        <v>0</v>
      </c>
      <c r="T47" s="17">
        <v>0</v>
      </c>
      <c r="U47" s="17">
        <v>0</v>
      </c>
      <c r="V47" s="17">
        <v>0</v>
      </c>
      <c r="W47" s="17">
        <v>0</v>
      </c>
      <c r="X47" s="17">
        <v>0</v>
      </c>
      <c r="Y47" s="17">
        <v>0</v>
      </c>
      <c r="Z47" s="18">
        <v>0</v>
      </c>
      <c r="AA47" s="18">
        <v>0</v>
      </c>
      <c r="AB47" s="18">
        <v>0</v>
      </c>
      <c r="AC47" s="19" t="s">
        <v>50</v>
      </c>
    </row>
    <row r="48" spans="1:29" x14ac:dyDescent="0.25">
      <c r="C48" s="1" t="s">
        <v>64</v>
      </c>
      <c r="E48" s="1">
        <f t="shared" si="3"/>
        <v>6</v>
      </c>
      <c r="F48" s="7">
        <f t="shared" si="4"/>
        <v>4</v>
      </c>
      <c r="G48" s="1">
        <f t="shared" si="5"/>
        <v>45</v>
      </c>
      <c r="K48" s="13">
        <v>0</v>
      </c>
      <c r="L48" s="13">
        <v>0</v>
      </c>
      <c r="M48" s="13">
        <v>0</v>
      </c>
      <c r="N48" s="13">
        <v>0</v>
      </c>
      <c r="O48" s="13">
        <v>0</v>
      </c>
      <c r="P48" s="13">
        <v>0</v>
      </c>
      <c r="Q48" s="13">
        <v>0</v>
      </c>
      <c r="R48" s="13">
        <v>0</v>
      </c>
      <c r="S48" s="13">
        <v>0</v>
      </c>
      <c r="T48" s="13">
        <v>0</v>
      </c>
      <c r="U48" s="13">
        <v>0</v>
      </c>
      <c r="V48" s="13">
        <v>1</v>
      </c>
      <c r="W48" s="13">
        <v>1</v>
      </c>
      <c r="X48" s="13">
        <v>1</v>
      </c>
      <c r="Y48" s="13">
        <v>1</v>
      </c>
      <c r="Z48" s="13">
        <v>0</v>
      </c>
      <c r="AA48" s="14">
        <v>0</v>
      </c>
      <c r="AB48" s="15">
        <v>0</v>
      </c>
      <c r="AC48" s="1" t="s">
        <v>89</v>
      </c>
    </row>
    <row r="49" spans="2:31" x14ac:dyDescent="0.25">
      <c r="C49" s="22" t="s">
        <v>90</v>
      </c>
      <c r="E49" s="1">
        <f t="shared" si="3"/>
        <v>6</v>
      </c>
      <c r="F49" s="7">
        <f t="shared" si="4"/>
        <v>5</v>
      </c>
      <c r="G49" s="1">
        <f t="shared" si="5"/>
        <v>46</v>
      </c>
      <c r="K49" s="11">
        <v>0</v>
      </c>
      <c r="L49" s="11">
        <v>0</v>
      </c>
      <c r="M49" s="11">
        <v>0</v>
      </c>
      <c r="N49" s="11">
        <v>0</v>
      </c>
      <c r="O49" s="11">
        <v>0</v>
      </c>
      <c r="P49" s="11">
        <v>0</v>
      </c>
      <c r="Q49" s="11">
        <v>0</v>
      </c>
      <c r="R49" s="11">
        <v>0</v>
      </c>
      <c r="S49" s="11">
        <v>0</v>
      </c>
      <c r="T49" s="11">
        <v>0</v>
      </c>
      <c r="U49" s="11">
        <v>0</v>
      </c>
      <c r="V49" s="33">
        <v>0</v>
      </c>
      <c r="W49" s="33">
        <v>0</v>
      </c>
      <c r="X49" s="13">
        <v>0</v>
      </c>
      <c r="Y49" s="33">
        <v>1</v>
      </c>
      <c r="Z49" s="33">
        <v>1</v>
      </c>
      <c r="AA49" s="14">
        <v>0</v>
      </c>
      <c r="AB49" s="15">
        <v>1</v>
      </c>
      <c r="AC49" s="1" t="s">
        <v>91</v>
      </c>
    </row>
    <row r="50" spans="2:31" x14ac:dyDescent="0.25">
      <c r="C50" s="22" t="s">
        <v>92</v>
      </c>
      <c r="E50" s="1">
        <f t="shared" si="3"/>
        <v>6</v>
      </c>
      <c r="F50" s="7">
        <f t="shared" si="4"/>
        <v>6</v>
      </c>
      <c r="G50" s="1">
        <f t="shared" si="5"/>
        <v>47</v>
      </c>
      <c r="K50" s="11">
        <v>0</v>
      </c>
      <c r="L50" s="11">
        <v>0</v>
      </c>
      <c r="M50" s="11">
        <v>0</v>
      </c>
      <c r="N50" s="11">
        <v>0</v>
      </c>
      <c r="O50" s="11">
        <v>0</v>
      </c>
      <c r="P50" s="11">
        <v>0</v>
      </c>
      <c r="Q50" s="11">
        <v>0</v>
      </c>
      <c r="R50" s="11">
        <v>0</v>
      </c>
      <c r="S50" s="11">
        <v>0</v>
      </c>
      <c r="T50" s="11">
        <v>0</v>
      </c>
      <c r="U50" s="11">
        <v>0</v>
      </c>
      <c r="V50" s="33">
        <v>0</v>
      </c>
      <c r="W50" s="33">
        <v>1</v>
      </c>
      <c r="X50" s="13">
        <v>0</v>
      </c>
      <c r="Y50" s="33">
        <v>0</v>
      </c>
      <c r="Z50" s="33">
        <v>0</v>
      </c>
      <c r="AA50" s="14">
        <v>0</v>
      </c>
      <c r="AB50" s="15">
        <v>1</v>
      </c>
      <c r="AC50" s="1" t="s">
        <v>91</v>
      </c>
    </row>
    <row r="51" spans="2:31" x14ac:dyDescent="0.25">
      <c r="C51" s="22" t="s">
        <v>93</v>
      </c>
      <c r="E51" s="1">
        <f t="shared" si="3"/>
        <v>6</v>
      </c>
      <c r="F51" s="7">
        <f t="shared" si="4"/>
        <v>7</v>
      </c>
      <c r="G51" s="1">
        <f t="shared" si="5"/>
        <v>48</v>
      </c>
      <c r="K51" s="11">
        <v>0</v>
      </c>
      <c r="L51" s="11">
        <v>0</v>
      </c>
      <c r="M51" s="11">
        <v>0</v>
      </c>
      <c r="N51" s="11">
        <v>0</v>
      </c>
      <c r="O51" s="11">
        <v>0</v>
      </c>
      <c r="P51" s="11">
        <v>0</v>
      </c>
      <c r="Q51" s="11">
        <v>0</v>
      </c>
      <c r="R51" s="11">
        <v>0</v>
      </c>
      <c r="S51" s="11">
        <v>0</v>
      </c>
      <c r="T51" s="11">
        <v>0</v>
      </c>
      <c r="U51" s="11">
        <v>0</v>
      </c>
      <c r="V51" s="33">
        <v>1</v>
      </c>
      <c r="W51" s="33">
        <v>0</v>
      </c>
      <c r="X51" s="13">
        <v>0</v>
      </c>
      <c r="Y51" s="33">
        <v>0</v>
      </c>
      <c r="Z51" s="33">
        <v>1</v>
      </c>
      <c r="AA51" s="14">
        <v>0</v>
      </c>
      <c r="AB51" s="15">
        <v>1</v>
      </c>
      <c r="AC51" s="1" t="s">
        <v>91</v>
      </c>
    </row>
    <row r="52" spans="2:31" x14ac:dyDescent="0.25">
      <c r="B52" s="1" t="s">
        <v>94</v>
      </c>
      <c r="C52" s="22" t="s">
        <v>95</v>
      </c>
      <c r="E52" s="1">
        <f t="shared" si="3"/>
        <v>5</v>
      </c>
      <c r="F52" s="7">
        <f t="shared" si="4"/>
        <v>0</v>
      </c>
      <c r="G52" s="1">
        <f t="shared" si="5"/>
        <v>49</v>
      </c>
      <c r="K52" s="11">
        <v>0</v>
      </c>
      <c r="L52" s="11">
        <v>0</v>
      </c>
      <c r="M52" s="11">
        <v>0</v>
      </c>
      <c r="N52" s="11">
        <v>0</v>
      </c>
      <c r="O52" s="11">
        <v>0</v>
      </c>
      <c r="P52" s="11">
        <v>0</v>
      </c>
      <c r="Q52" s="11">
        <v>0</v>
      </c>
      <c r="R52" s="11">
        <v>0</v>
      </c>
      <c r="S52" s="11">
        <v>0</v>
      </c>
      <c r="T52" s="11">
        <v>0</v>
      </c>
      <c r="U52" s="11">
        <v>0</v>
      </c>
      <c r="V52" s="13">
        <v>0</v>
      </c>
      <c r="W52" s="13">
        <v>0</v>
      </c>
      <c r="X52" s="13">
        <v>0</v>
      </c>
      <c r="Y52" s="13">
        <v>1</v>
      </c>
      <c r="Z52" s="13">
        <v>1</v>
      </c>
      <c r="AA52" s="14">
        <v>0</v>
      </c>
      <c r="AB52" s="15">
        <v>1</v>
      </c>
      <c r="AC52" s="1" t="s">
        <v>96</v>
      </c>
    </row>
    <row r="53" spans="2:31" x14ac:dyDescent="0.25">
      <c r="C53" s="22" t="s">
        <v>97</v>
      </c>
      <c r="E53" s="1">
        <f t="shared" si="3"/>
        <v>5</v>
      </c>
      <c r="F53" s="7">
        <f t="shared" si="4"/>
        <v>1</v>
      </c>
      <c r="G53" s="1">
        <f t="shared" si="5"/>
        <v>50</v>
      </c>
      <c r="K53" s="11">
        <v>0</v>
      </c>
      <c r="L53" s="11">
        <v>0</v>
      </c>
      <c r="M53" s="11">
        <v>0</v>
      </c>
      <c r="N53" s="11">
        <v>0</v>
      </c>
      <c r="O53" s="11">
        <v>0</v>
      </c>
      <c r="P53" s="11">
        <v>0</v>
      </c>
      <c r="Q53" s="11">
        <v>0</v>
      </c>
      <c r="R53" s="11">
        <v>0</v>
      </c>
      <c r="S53" s="11">
        <v>0</v>
      </c>
      <c r="T53" s="11">
        <v>0</v>
      </c>
      <c r="U53" s="11">
        <v>0</v>
      </c>
      <c r="V53" s="13">
        <v>0</v>
      </c>
      <c r="W53" s="13">
        <v>1</v>
      </c>
      <c r="X53" s="13">
        <v>0</v>
      </c>
      <c r="Y53" s="33">
        <v>1</v>
      </c>
      <c r="Z53" s="33">
        <v>0</v>
      </c>
      <c r="AA53" s="14">
        <v>0</v>
      </c>
      <c r="AB53" s="15">
        <v>1</v>
      </c>
      <c r="AC53" s="1" t="s">
        <v>96</v>
      </c>
    </row>
    <row r="54" spans="2:31" x14ac:dyDescent="0.25">
      <c r="C54" s="22" t="s">
        <v>98</v>
      </c>
      <c r="E54" s="1">
        <f t="shared" si="3"/>
        <v>5</v>
      </c>
      <c r="F54" s="7">
        <f t="shared" si="4"/>
        <v>2</v>
      </c>
      <c r="G54" s="1">
        <f t="shared" si="5"/>
        <v>51</v>
      </c>
      <c r="K54" s="11">
        <v>0</v>
      </c>
      <c r="L54" s="11">
        <v>0</v>
      </c>
      <c r="M54" s="11">
        <v>0</v>
      </c>
      <c r="N54" s="11">
        <v>0</v>
      </c>
      <c r="O54" s="11">
        <v>0</v>
      </c>
      <c r="P54" s="11">
        <v>0</v>
      </c>
      <c r="Q54" s="11">
        <v>0</v>
      </c>
      <c r="R54" s="11">
        <v>0</v>
      </c>
      <c r="S54" s="11">
        <v>0</v>
      </c>
      <c r="T54" s="11">
        <v>0</v>
      </c>
      <c r="U54" s="11">
        <v>0</v>
      </c>
      <c r="V54" s="13">
        <v>0</v>
      </c>
      <c r="W54" s="13">
        <v>0</v>
      </c>
      <c r="X54" s="13">
        <v>1</v>
      </c>
      <c r="Y54" s="13">
        <v>0</v>
      </c>
      <c r="Z54" s="13">
        <v>0</v>
      </c>
      <c r="AA54" s="14">
        <v>0</v>
      </c>
      <c r="AB54" s="15">
        <v>1</v>
      </c>
      <c r="AC54" s="1" t="s">
        <v>96</v>
      </c>
    </row>
    <row r="55" spans="2:31" s="7" customFormat="1" x14ac:dyDescent="0.25">
      <c r="C55" s="23" t="s">
        <v>99</v>
      </c>
      <c r="E55" s="1">
        <f t="shared" si="3"/>
        <v>5</v>
      </c>
      <c r="F55" s="7">
        <f t="shared" si="4"/>
        <v>3</v>
      </c>
      <c r="G55" s="1">
        <f t="shared" si="5"/>
        <v>52</v>
      </c>
      <c r="K55" s="8">
        <v>0</v>
      </c>
      <c r="L55" s="8">
        <v>0</v>
      </c>
      <c r="M55" s="8">
        <v>0</v>
      </c>
      <c r="N55" s="8">
        <v>0</v>
      </c>
      <c r="O55" s="8">
        <v>0</v>
      </c>
      <c r="P55" s="8">
        <v>0</v>
      </c>
      <c r="Q55" s="8">
        <v>0</v>
      </c>
      <c r="R55" s="8">
        <v>0</v>
      </c>
      <c r="S55" s="8">
        <v>0</v>
      </c>
      <c r="T55" s="8">
        <v>0</v>
      </c>
      <c r="U55" s="8">
        <v>0</v>
      </c>
      <c r="V55" s="8">
        <v>0</v>
      </c>
      <c r="W55" s="8">
        <v>0</v>
      </c>
      <c r="X55" s="8">
        <v>0</v>
      </c>
      <c r="Y55" s="8">
        <v>0</v>
      </c>
      <c r="Z55" s="8">
        <v>0</v>
      </c>
      <c r="AA55" s="9">
        <v>0</v>
      </c>
      <c r="AB55" s="9">
        <v>0</v>
      </c>
      <c r="AC55" s="7" t="s">
        <v>100</v>
      </c>
      <c r="AE55" s="10" t="s">
        <v>33</v>
      </c>
    </row>
    <row r="56" spans="2:31" x14ac:dyDescent="0.25">
      <c r="C56" s="1" t="s">
        <v>101</v>
      </c>
      <c r="E56" s="1">
        <f t="shared" si="3"/>
        <v>5</v>
      </c>
      <c r="F56" s="7">
        <f t="shared" si="4"/>
        <v>4</v>
      </c>
      <c r="G56" s="1">
        <f t="shared" si="5"/>
        <v>53</v>
      </c>
      <c r="K56" s="11">
        <v>0</v>
      </c>
      <c r="L56" s="11">
        <v>0</v>
      </c>
      <c r="M56" s="11">
        <v>0</v>
      </c>
      <c r="N56" s="11">
        <v>0</v>
      </c>
      <c r="O56" s="11">
        <v>0</v>
      </c>
      <c r="P56" s="11">
        <v>0</v>
      </c>
      <c r="Q56" s="11">
        <v>0</v>
      </c>
      <c r="R56" s="11">
        <v>0</v>
      </c>
      <c r="S56" s="11">
        <v>0</v>
      </c>
      <c r="T56" s="11">
        <v>0</v>
      </c>
      <c r="U56" s="11">
        <v>0</v>
      </c>
      <c r="V56" s="13">
        <v>1</v>
      </c>
      <c r="W56" s="13">
        <v>0</v>
      </c>
      <c r="X56" s="13">
        <v>0</v>
      </c>
      <c r="Y56" s="13">
        <v>0</v>
      </c>
      <c r="Z56" s="13">
        <v>1</v>
      </c>
      <c r="AA56" s="14">
        <v>0</v>
      </c>
      <c r="AB56" s="15">
        <v>1</v>
      </c>
      <c r="AC56" s="1" t="s">
        <v>102</v>
      </c>
    </row>
    <row r="57" spans="2:31" x14ac:dyDescent="0.25">
      <c r="C57" s="1" t="s">
        <v>103</v>
      </c>
      <c r="E57" s="1">
        <f t="shared" si="3"/>
        <v>5</v>
      </c>
      <c r="F57" s="7">
        <f t="shared" si="4"/>
        <v>5</v>
      </c>
      <c r="G57" s="1">
        <f t="shared" si="5"/>
        <v>54</v>
      </c>
      <c r="K57" s="11">
        <v>0</v>
      </c>
      <c r="L57" s="11">
        <v>0</v>
      </c>
      <c r="M57" s="11">
        <v>0</v>
      </c>
      <c r="N57" s="11">
        <v>0</v>
      </c>
      <c r="O57" s="11">
        <v>0</v>
      </c>
      <c r="P57" s="11">
        <v>0</v>
      </c>
      <c r="Q57" s="11">
        <v>0</v>
      </c>
      <c r="R57" s="11">
        <v>0</v>
      </c>
      <c r="S57" s="11">
        <v>0</v>
      </c>
      <c r="T57" s="11">
        <v>0</v>
      </c>
      <c r="U57" s="11">
        <v>0</v>
      </c>
      <c r="V57" s="13">
        <v>1</v>
      </c>
      <c r="W57" s="13">
        <v>1</v>
      </c>
      <c r="X57" s="13">
        <v>1</v>
      </c>
      <c r="Y57" s="13">
        <v>0</v>
      </c>
      <c r="Z57" s="13">
        <v>0</v>
      </c>
      <c r="AA57" s="14">
        <v>0</v>
      </c>
      <c r="AB57" s="15">
        <v>1</v>
      </c>
      <c r="AC57" s="1" t="s">
        <v>102</v>
      </c>
    </row>
    <row r="58" spans="2:31" x14ac:dyDescent="0.25">
      <c r="C58" s="22" t="s">
        <v>104</v>
      </c>
      <c r="E58" s="1">
        <f t="shared" si="3"/>
        <v>5</v>
      </c>
      <c r="F58" s="7">
        <f t="shared" si="4"/>
        <v>6</v>
      </c>
      <c r="G58" s="1">
        <f t="shared" si="5"/>
        <v>55</v>
      </c>
      <c r="K58" s="11">
        <v>0</v>
      </c>
      <c r="L58" s="11">
        <v>0</v>
      </c>
      <c r="M58" s="11">
        <v>0</v>
      </c>
      <c r="N58" s="11">
        <v>0</v>
      </c>
      <c r="O58" s="11">
        <v>0</v>
      </c>
      <c r="P58" s="11">
        <v>0</v>
      </c>
      <c r="Q58" s="11">
        <v>0</v>
      </c>
      <c r="R58" s="11">
        <v>0</v>
      </c>
      <c r="S58" s="11">
        <v>0</v>
      </c>
      <c r="T58" s="11">
        <v>0</v>
      </c>
      <c r="U58" s="11">
        <v>0</v>
      </c>
      <c r="V58" s="13">
        <v>0</v>
      </c>
      <c r="W58" s="13">
        <v>1</v>
      </c>
      <c r="X58" s="13">
        <v>0</v>
      </c>
      <c r="Y58" s="13">
        <v>0</v>
      </c>
      <c r="Z58" s="13">
        <v>0</v>
      </c>
      <c r="AA58" s="14">
        <v>0</v>
      </c>
      <c r="AB58" s="15">
        <v>1</v>
      </c>
      <c r="AC58" s="1" t="s">
        <v>102</v>
      </c>
    </row>
    <row r="59" spans="2:31" x14ac:dyDescent="0.25">
      <c r="C59" s="22" t="s">
        <v>105</v>
      </c>
      <c r="E59" s="1">
        <f t="shared" si="3"/>
        <v>5</v>
      </c>
      <c r="F59" s="7">
        <f t="shared" si="4"/>
        <v>7</v>
      </c>
      <c r="G59" s="1">
        <f t="shared" si="5"/>
        <v>56</v>
      </c>
      <c r="K59" s="11">
        <v>0</v>
      </c>
      <c r="L59" s="11">
        <v>0</v>
      </c>
      <c r="M59" s="11">
        <v>0</v>
      </c>
      <c r="N59" s="11">
        <v>0</v>
      </c>
      <c r="O59" s="11">
        <v>0</v>
      </c>
      <c r="P59" s="11">
        <v>0</v>
      </c>
      <c r="Q59" s="11">
        <v>0</v>
      </c>
      <c r="R59" s="11">
        <v>0</v>
      </c>
      <c r="S59" s="11">
        <v>0</v>
      </c>
      <c r="T59" s="11">
        <v>0</v>
      </c>
      <c r="U59" s="11">
        <v>0</v>
      </c>
      <c r="V59" s="11">
        <v>0</v>
      </c>
      <c r="W59" s="11">
        <v>0</v>
      </c>
      <c r="X59" s="11">
        <v>0</v>
      </c>
      <c r="Y59" s="13">
        <v>0</v>
      </c>
      <c r="Z59" s="13">
        <v>1</v>
      </c>
      <c r="AA59" s="14">
        <v>0</v>
      </c>
      <c r="AB59" s="15">
        <v>1</v>
      </c>
      <c r="AC59" s="1" t="s">
        <v>106</v>
      </c>
    </row>
    <row r="60" spans="2:31" x14ac:dyDescent="0.25">
      <c r="B60" s="1" t="s">
        <v>107</v>
      </c>
      <c r="C60" s="22" t="s">
        <v>108</v>
      </c>
      <c r="E60" s="1">
        <f t="shared" si="3"/>
        <v>4</v>
      </c>
      <c r="F60" s="7">
        <f t="shared" si="4"/>
        <v>0</v>
      </c>
      <c r="G60" s="1">
        <f t="shared" si="5"/>
        <v>57</v>
      </c>
      <c r="K60" s="11">
        <v>0</v>
      </c>
      <c r="L60" s="11">
        <v>0</v>
      </c>
      <c r="M60" s="11">
        <v>0</v>
      </c>
      <c r="N60" s="11">
        <v>0</v>
      </c>
      <c r="O60" s="11">
        <v>0</v>
      </c>
      <c r="P60" s="11">
        <v>0</v>
      </c>
      <c r="Q60" s="11">
        <v>0</v>
      </c>
      <c r="R60" s="11">
        <v>0</v>
      </c>
      <c r="S60" s="11">
        <v>0</v>
      </c>
      <c r="T60" s="11">
        <v>0</v>
      </c>
      <c r="U60" s="11">
        <v>0</v>
      </c>
      <c r="V60" s="13">
        <v>0</v>
      </c>
      <c r="W60" s="13">
        <v>0</v>
      </c>
      <c r="X60" s="13">
        <v>0</v>
      </c>
      <c r="Y60" s="13">
        <v>1</v>
      </c>
      <c r="Z60" s="13">
        <v>1</v>
      </c>
      <c r="AA60" s="14">
        <v>0</v>
      </c>
      <c r="AB60" s="15">
        <v>1</v>
      </c>
      <c r="AC60" s="1" t="s">
        <v>109</v>
      </c>
    </row>
    <row r="61" spans="2:31" x14ac:dyDescent="0.25">
      <c r="C61" s="22" t="s">
        <v>110</v>
      </c>
      <c r="E61" s="1">
        <f t="shared" si="3"/>
        <v>4</v>
      </c>
      <c r="F61" s="7">
        <f t="shared" si="4"/>
        <v>1</v>
      </c>
      <c r="G61" s="1">
        <f t="shared" si="5"/>
        <v>58</v>
      </c>
      <c r="K61" s="11">
        <v>0</v>
      </c>
      <c r="L61" s="11">
        <v>0</v>
      </c>
      <c r="M61" s="11">
        <v>0</v>
      </c>
      <c r="N61" s="11">
        <v>0</v>
      </c>
      <c r="O61" s="11">
        <v>0</v>
      </c>
      <c r="P61" s="11">
        <v>0</v>
      </c>
      <c r="Q61" s="11">
        <v>0</v>
      </c>
      <c r="R61" s="11">
        <v>0</v>
      </c>
      <c r="S61" s="11">
        <v>0</v>
      </c>
      <c r="T61" s="11">
        <v>0</v>
      </c>
      <c r="U61" s="11">
        <v>0</v>
      </c>
      <c r="V61" s="13">
        <v>1</v>
      </c>
      <c r="W61" s="13">
        <v>0</v>
      </c>
      <c r="X61" s="13">
        <v>0</v>
      </c>
      <c r="Y61" s="11">
        <v>0</v>
      </c>
      <c r="Z61" s="11">
        <v>0</v>
      </c>
      <c r="AA61" s="14">
        <v>0</v>
      </c>
      <c r="AB61" s="15">
        <v>1</v>
      </c>
      <c r="AC61" s="1" t="s">
        <v>111</v>
      </c>
    </row>
    <row r="62" spans="2:31" x14ac:dyDescent="0.25">
      <c r="C62" s="1" t="s">
        <v>112</v>
      </c>
      <c r="E62" s="1">
        <f t="shared" si="3"/>
        <v>4</v>
      </c>
      <c r="F62" s="7">
        <f t="shared" si="4"/>
        <v>2</v>
      </c>
      <c r="G62" s="1">
        <f t="shared" si="5"/>
        <v>59</v>
      </c>
      <c r="K62" s="11">
        <v>0</v>
      </c>
      <c r="L62" s="11">
        <v>0</v>
      </c>
      <c r="M62" s="11">
        <v>0</v>
      </c>
      <c r="N62" s="11">
        <v>0</v>
      </c>
      <c r="O62" s="11">
        <v>0</v>
      </c>
      <c r="P62" s="11">
        <v>0</v>
      </c>
      <c r="Q62" s="11">
        <v>0</v>
      </c>
      <c r="R62" s="11">
        <v>0</v>
      </c>
      <c r="S62" s="11">
        <v>0</v>
      </c>
      <c r="T62" s="11">
        <v>0</v>
      </c>
      <c r="U62" s="11">
        <v>0</v>
      </c>
      <c r="V62" s="13">
        <v>0</v>
      </c>
      <c r="W62" s="13">
        <v>0</v>
      </c>
      <c r="X62" s="13">
        <v>1</v>
      </c>
      <c r="Y62" s="11">
        <v>0</v>
      </c>
      <c r="Z62" s="11">
        <v>0</v>
      </c>
      <c r="AA62" s="14">
        <v>0</v>
      </c>
      <c r="AB62" s="15">
        <v>1</v>
      </c>
      <c r="AC62" s="1" t="s">
        <v>111</v>
      </c>
    </row>
    <row r="63" spans="2:31" x14ac:dyDescent="0.25">
      <c r="C63" s="1" t="s">
        <v>113</v>
      </c>
      <c r="E63" s="1">
        <f t="shared" si="3"/>
        <v>4</v>
      </c>
      <c r="F63" s="1">
        <f t="shared" si="4"/>
        <v>3</v>
      </c>
      <c r="G63" s="1">
        <f t="shared" si="5"/>
        <v>60</v>
      </c>
      <c r="K63" s="17">
        <v>1</v>
      </c>
      <c r="L63" s="17">
        <v>1</v>
      </c>
      <c r="M63" s="17">
        <v>1</v>
      </c>
      <c r="N63" s="17">
        <v>1</v>
      </c>
      <c r="O63" s="17">
        <v>1</v>
      </c>
      <c r="P63" s="17">
        <v>1</v>
      </c>
      <c r="Q63" s="17">
        <v>1</v>
      </c>
      <c r="R63" s="17">
        <v>1</v>
      </c>
      <c r="S63" s="17">
        <v>1</v>
      </c>
      <c r="T63" s="17">
        <v>1</v>
      </c>
      <c r="U63" s="17">
        <v>1</v>
      </c>
      <c r="V63" s="17">
        <v>1</v>
      </c>
      <c r="W63" s="17">
        <v>1</v>
      </c>
      <c r="X63" s="17">
        <v>1</v>
      </c>
      <c r="Y63" s="17">
        <v>1</v>
      </c>
      <c r="Z63" s="17">
        <v>0</v>
      </c>
      <c r="AA63" s="17">
        <v>1</v>
      </c>
      <c r="AB63" s="18">
        <v>0</v>
      </c>
      <c r="AC63" s="1" t="s">
        <v>114</v>
      </c>
    </row>
    <row r="64" spans="2:31" x14ac:dyDescent="0.25">
      <c r="C64" s="1" t="s">
        <v>115</v>
      </c>
      <c r="E64" s="1">
        <f t="shared" si="3"/>
        <v>4</v>
      </c>
      <c r="F64" s="7">
        <f t="shared" si="4"/>
        <v>4</v>
      </c>
      <c r="G64" s="1">
        <f t="shared" si="5"/>
        <v>61</v>
      </c>
      <c r="K64" s="11">
        <v>0</v>
      </c>
      <c r="L64" s="11">
        <v>0</v>
      </c>
      <c r="M64" s="11">
        <v>0</v>
      </c>
      <c r="N64" s="11">
        <v>0</v>
      </c>
      <c r="O64" s="11">
        <v>0</v>
      </c>
      <c r="P64" s="11">
        <v>0</v>
      </c>
      <c r="Q64" s="11">
        <v>0</v>
      </c>
      <c r="R64" s="11">
        <v>0</v>
      </c>
      <c r="S64" s="11">
        <v>0</v>
      </c>
      <c r="T64" s="11">
        <v>0</v>
      </c>
      <c r="U64" s="11">
        <v>0</v>
      </c>
      <c r="V64" s="13">
        <v>1</v>
      </c>
      <c r="W64" s="13">
        <v>0</v>
      </c>
      <c r="X64" s="13">
        <v>0</v>
      </c>
      <c r="Y64" s="13">
        <v>0</v>
      </c>
      <c r="Z64" s="13">
        <v>1</v>
      </c>
      <c r="AA64" s="14">
        <v>0</v>
      </c>
      <c r="AB64" s="15">
        <v>1</v>
      </c>
      <c r="AC64" s="1" t="s">
        <v>116</v>
      </c>
    </row>
    <row r="65" spans="1:29" x14ac:dyDescent="0.25">
      <c r="C65" s="1" t="s">
        <v>117</v>
      </c>
      <c r="E65" s="1">
        <f t="shared" si="3"/>
        <v>4</v>
      </c>
      <c r="F65" s="7">
        <f t="shared" si="4"/>
        <v>5</v>
      </c>
      <c r="G65" s="1">
        <f t="shared" si="5"/>
        <v>62</v>
      </c>
      <c r="K65" s="11">
        <v>0</v>
      </c>
      <c r="L65" s="11">
        <v>0</v>
      </c>
      <c r="M65" s="11">
        <v>0</v>
      </c>
      <c r="N65" s="11">
        <v>0</v>
      </c>
      <c r="O65" s="11">
        <v>0</v>
      </c>
      <c r="P65" s="11">
        <v>0</v>
      </c>
      <c r="Q65" s="11">
        <v>0</v>
      </c>
      <c r="R65" s="11">
        <v>0</v>
      </c>
      <c r="S65" s="11">
        <v>0</v>
      </c>
      <c r="T65" s="11">
        <v>0</v>
      </c>
      <c r="U65" s="11">
        <v>0</v>
      </c>
      <c r="V65" s="13">
        <v>0</v>
      </c>
      <c r="W65" s="13">
        <v>1</v>
      </c>
      <c r="X65" s="13">
        <v>0</v>
      </c>
      <c r="Y65" s="13">
        <v>0</v>
      </c>
      <c r="Z65" s="13">
        <v>0</v>
      </c>
      <c r="AA65" s="14">
        <v>0</v>
      </c>
      <c r="AB65" s="15">
        <v>1</v>
      </c>
      <c r="AC65" s="1" t="s">
        <v>116</v>
      </c>
    </row>
    <row r="66" spans="1:29" x14ac:dyDescent="0.25">
      <c r="C66" s="1" t="s">
        <v>118</v>
      </c>
      <c r="E66" s="1">
        <f t="shared" si="3"/>
        <v>4</v>
      </c>
      <c r="F66" s="7">
        <f t="shared" si="4"/>
        <v>6</v>
      </c>
      <c r="G66" s="1">
        <f t="shared" si="5"/>
        <v>63</v>
      </c>
      <c r="K66" s="11">
        <v>0</v>
      </c>
      <c r="L66" s="11">
        <v>0</v>
      </c>
      <c r="M66" s="11">
        <v>0</v>
      </c>
      <c r="N66" s="11">
        <v>0</v>
      </c>
      <c r="O66" s="11">
        <v>0</v>
      </c>
      <c r="P66" s="11">
        <v>0</v>
      </c>
      <c r="Q66" s="11">
        <v>0</v>
      </c>
      <c r="R66" s="11">
        <v>0</v>
      </c>
      <c r="S66" s="11">
        <v>0</v>
      </c>
      <c r="T66" s="11">
        <v>0</v>
      </c>
      <c r="U66" s="11">
        <v>0</v>
      </c>
      <c r="V66" s="13">
        <v>1</v>
      </c>
      <c r="W66" s="13">
        <v>1</v>
      </c>
      <c r="X66" s="13">
        <v>1</v>
      </c>
      <c r="Y66" s="13">
        <v>0</v>
      </c>
      <c r="Z66" s="13">
        <v>0</v>
      </c>
      <c r="AA66" s="14">
        <v>0</v>
      </c>
      <c r="AB66" s="15">
        <v>1</v>
      </c>
      <c r="AC66" s="1" t="s">
        <v>116</v>
      </c>
    </row>
    <row r="67" spans="1:29" s="16" customFormat="1" x14ac:dyDescent="0.25">
      <c r="C67" s="16" t="s">
        <v>50</v>
      </c>
      <c r="E67" s="1">
        <f t="shared" si="3"/>
        <v>4</v>
      </c>
      <c r="F67" s="7">
        <f t="shared" si="4"/>
        <v>7</v>
      </c>
      <c r="G67" s="1">
        <f t="shared" si="5"/>
        <v>64</v>
      </c>
      <c r="K67" s="17">
        <v>0</v>
      </c>
      <c r="L67" s="17">
        <v>0</v>
      </c>
      <c r="M67" s="17">
        <v>0</v>
      </c>
      <c r="N67" s="17">
        <v>0</v>
      </c>
      <c r="O67" s="17">
        <v>0</v>
      </c>
      <c r="P67" s="17">
        <v>0</v>
      </c>
      <c r="Q67" s="17">
        <v>0</v>
      </c>
      <c r="R67" s="17">
        <v>0</v>
      </c>
      <c r="S67" s="17">
        <v>0</v>
      </c>
      <c r="T67" s="17">
        <v>0</v>
      </c>
      <c r="U67" s="17">
        <v>0</v>
      </c>
      <c r="V67" s="17">
        <v>0</v>
      </c>
      <c r="W67" s="17">
        <v>0</v>
      </c>
      <c r="X67" s="17">
        <v>0</v>
      </c>
      <c r="Y67" s="17">
        <v>0</v>
      </c>
      <c r="Z67" s="18">
        <v>0</v>
      </c>
      <c r="AA67" s="18">
        <v>0</v>
      </c>
      <c r="AB67" s="18">
        <v>0</v>
      </c>
      <c r="AC67" s="19" t="s">
        <v>50</v>
      </c>
    </row>
    <row r="68" spans="1:29" x14ac:dyDescent="0.25">
      <c r="A68" s="1" t="s">
        <v>119</v>
      </c>
      <c r="B68" s="1" t="s">
        <v>120</v>
      </c>
      <c r="C68" s="1" t="s">
        <v>121</v>
      </c>
      <c r="E68" s="1">
        <f t="shared" ref="E68:E99" si="6">IF(AND(NOT(ISBLANK(E76)), (E69 = E76)), E69+1, E69)</f>
        <v>3</v>
      </c>
      <c r="F68" s="7">
        <f t="shared" ref="F68:F91" si="7">MOD((F69-1),8)</f>
        <v>0</v>
      </c>
      <c r="G68" s="1">
        <f t="shared" ref="G68:G91" si="8">G67+1</f>
        <v>65</v>
      </c>
      <c r="K68" s="13">
        <v>0</v>
      </c>
      <c r="L68" s="13">
        <v>0</v>
      </c>
      <c r="M68" s="13">
        <v>0</v>
      </c>
      <c r="N68" s="13">
        <v>0</v>
      </c>
      <c r="O68" s="13">
        <v>0</v>
      </c>
      <c r="P68" s="13">
        <v>0</v>
      </c>
      <c r="Q68" s="13">
        <v>1</v>
      </c>
      <c r="R68" s="13">
        <v>0</v>
      </c>
      <c r="S68" s="13">
        <v>0</v>
      </c>
      <c r="T68" s="13">
        <v>0</v>
      </c>
      <c r="U68" s="13">
        <v>0</v>
      </c>
      <c r="V68" s="13">
        <v>0</v>
      </c>
      <c r="W68" s="13">
        <v>0</v>
      </c>
      <c r="X68" s="13">
        <v>0</v>
      </c>
      <c r="Y68" s="13">
        <v>0</v>
      </c>
      <c r="Z68" s="13">
        <v>0</v>
      </c>
      <c r="AA68" s="14">
        <v>0</v>
      </c>
      <c r="AB68" s="15">
        <v>1</v>
      </c>
      <c r="AC68" s="1" t="s">
        <v>122</v>
      </c>
    </row>
    <row r="69" spans="1:29" x14ac:dyDescent="0.25">
      <c r="C69" s="1" t="s">
        <v>123</v>
      </c>
      <c r="E69" s="1">
        <f t="shared" si="6"/>
        <v>3</v>
      </c>
      <c r="F69" s="7">
        <f t="shared" si="7"/>
        <v>1</v>
      </c>
      <c r="G69" s="1">
        <f t="shared" si="8"/>
        <v>66</v>
      </c>
      <c r="K69" s="13">
        <v>0</v>
      </c>
      <c r="L69" s="13">
        <v>0</v>
      </c>
      <c r="M69" s="13">
        <v>0</v>
      </c>
      <c r="N69" s="13">
        <v>0</v>
      </c>
      <c r="O69" s="13">
        <v>0</v>
      </c>
      <c r="P69" s="13">
        <v>0</v>
      </c>
      <c r="Q69" s="13">
        <v>0</v>
      </c>
      <c r="R69" s="13">
        <v>0</v>
      </c>
      <c r="S69" s="13">
        <v>0</v>
      </c>
      <c r="T69" s="13">
        <v>1</v>
      </c>
      <c r="U69" s="13">
        <v>0</v>
      </c>
      <c r="V69" s="13">
        <v>0</v>
      </c>
      <c r="W69" s="13">
        <v>0</v>
      </c>
      <c r="X69" s="13">
        <v>0</v>
      </c>
      <c r="Y69" s="13">
        <v>0</v>
      </c>
      <c r="Z69" s="13">
        <v>0</v>
      </c>
      <c r="AA69" s="14">
        <v>0</v>
      </c>
      <c r="AB69" s="15">
        <v>1</v>
      </c>
      <c r="AC69" s="1" t="s">
        <v>124</v>
      </c>
    </row>
    <row r="70" spans="1:29" x14ac:dyDescent="0.25">
      <c r="C70" s="1" t="s">
        <v>125</v>
      </c>
      <c r="E70" s="1">
        <f t="shared" si="6"/>
        <v>3</v>
      </c>
      <c r="F70" s="7">
        <f t="shared" si="7"/>
        <v>2</v>
      </c>
      <c r="G70" s="1">
        <f t="shared" si="8"/>
        <v>67</v>
      </c>
      <c r="K70" s="13">
        <v>0</v>
      </c>
      <c r="L70" s="13">
        <v>1</v>
      </c>
      <c r="M70" s="13">
        <v>0</v>
      </c>
      <c r="N70" s="13">
        <v>0</v>
      </c>
      <c r="O70" s="13">
        <v>0</v>
      </c>
      <c r="P70" s="13">
        <v>0</v>
      </c>
      <c r="Q70" s="13">
        <v>0</v>
      </c>
      <c r="R70" s="13">
        <v>0</v>
      </c>
      <c r="S70" s="13">
        <v>0</v>
      </c>
      <c r="T70" s="13">
        <v>0</v>
      </c>
      <c r="U70" s="13">
        <v>0</v>
      </c>
      <c r="V70" s="13">
        <v>0</v>
      </c>
      <c r="W70" s="13">
        <v>0</v>
      </c>
      <c r="X70" s="13">
        <v>0</v>
      </c>
      <c r="Y70" s="13">
        <v>0</v>
      </c>
      <c r="Z70" s="13">
        <v>0</v>
      </c>
      <c r="AA70" s="14">
        <v>0</v>
      </c>
      <c r="AB70" s="15">
        <v>1</v>
      </c>
      <c r="AC70" s="1" t="s">
        <v>126</v>
      </c>
    </row>
    <row r="71" spans="1:29" x14ac:dyDescent="0.25">
      <c r="C71" s="1" t="s">
        <v>127</v>
      </c>
      <c r="E71" s="1">
        <f t="shared" si="6"/>
        <v>3</v>
      </c>
      <c r="F71" s="7">
        <f t="shared" si="7"/>
        <v>3</v>
      </c>
      <c r="G71" s="1">
        <f t="shared" si="8"/>
        <v>68</v>
      </c>
      <c r="K71" s="13">
        <v>0</v>
      </c>
      <c r="L71" s="13">
        <v>0</v>
      </c>
      <c r="M71" s="13">
        <v>0</v>
      </c>
      <c r="N71" s="13">
        <v>0</v>
      </c>
      <c r="O71" s="13">
        <v>0</v>
      </c>
      <c r="P71" s="13">
        <v>0</v>
      </c>
      <c r="Q71" s="13">
        <v>0</v>
      </c>
      <c r="R71" s="13">
        <v>0</v>
      </c>
      <c r="S71" s="13">
        <v>0</v>
      </c>
      <c r="T71" s="13">
        <v>0</v>
      </c>
      <c r="U71" s="13">
        <v>1</v>
      </c>
      <c r="V71" s="13">
        <v>0</v>
      </c>
      <c r="W71" s="13">
        <v>0</v>
      </c>
      <c r="X71" s="13">
        <v>0</v>
      </c>
      <c r="Y71" s="13">
        <v>0</v>
      </c>
      <c r="Z71" s="13">
        <v>0</v>
      </c>
      <c r="AA71" s="14">
        <v>0</v>
      </c>
      <c r="AB71" s="15">
        <v>1</v>
      </c>
      <c r="AC71" s="1" t="s">
        <v>128</v>
      </c>
    </row>
    <row r="72" spans="1:29" x14ac:dyDescent="0.25">
      <c r="C72" s="1" t="s">
        <v>129</v>
      </c>
      <c r="E72" s="1">
        <f t="shared" si="6"/>
        <v>3</v>
      </c>
      <c r="F72" s="7">
        <f t="shared" si="7"/>
        <v>4</v>
      </c>
      <c r="G72" s="1">
        <f t="shared" si="8"/>
        <v>69</v>
      </c>
      <c r="K72" s="13">
        <v>1</v>
      </c>
      <c r="L72" s="13">
        <v>0</v>
      </c>
      <c r="M72" s="11">
        <v>0</v>
      </c>
      <c r="N72" s="11">
        <v>0</v>
      </c>
      <c r="O72" s="13">
        <v>1</v>
      </c>
      <c r="P72" s="13">
        <v>1</v>
      </c>
      <c r="Q72" s="13">
        <v>0</v>
      </c>
      <c r="R72" s="13">
        <v>1</v>
      </c>
      <c r="S72" s="13">
        <v>1</v>
      </c>
      <c r="T72" s="13">
        <v>0</v>
      </c>
      <c r="U72" s="13">
        <v>0</v>
      </c>
      <c r="V72" s="11">
        <v>0</v>
      </c>
      <c r="W72" s="11">
        <v>0</v>
      </c>
      <c r="X72" s="11">
        <v>0</v>
      </c>
      <c r="Y72" s="11">
        <v>0</v>
      </c>
      <c r="Z72" s="11">
        <v>0</v>
      </c>
      <c r="AA72" s="14">
        <v>0</v>
      </c>
      <c r="AB72" s="15">
        <v>1</v>
      </c>
      <c r="AC72" s="1" t="s">
        <v>130</v>
      </c>
    </row>
    <row r="73" spans="1:29" x14ac:dyDescent="0.25">
      <c r="C73" s="1" t="s">
        <v>131</v>
      </c>
      <c r="E73" s="1">
        <f t="shared" si="6"/>
        <v>3</v>
      </c>
      <c r="F73" s="7">
        <f t="shared" si="7"/>
        <v>5</v>
      </c>
      <c r="G73" s="1">
        <f t="shared" si="8"/>
        <v>70</v>
      </c>
      <c r="K73" s="13">
        <v>0</v>
      </c>
      <c r="L73" s="13">
        <v>1</v>
      </c>
      <c r="M73" s="11">
        <v>0</v>
      </c>
      <c r="N73" s="11">
        <v>0</v>
      </c>
      <c r="O73" s="13">
        <v>1</v>
      </c>
      <c r="P73" s="13">
        <v>1</v>
      </c>
      <c r="Q73" s="13">
        <v>1</v>
      </c>
      <c r="R73" s="13">
        <v>1</v>
      </c>
      <c r="S73" s="13">
        <v>0</v>
      </c>
      <c r="T73" s="13">
        <v>0</v>
      </c>
      <c r="U73" s="13">
        <v>0</v>
      </c>
      <c r="V73" s="11">
        <v>0</v>
      </c>
      <c r="W73" s="11">
        <v>0</v>
      </c>
      <c r="X73" s="11">
        <v>0</v>
      </c>
      <c r="Y73" s="11">
        <v>0</v>
      </c>
      <c r="Z73" s="11">
        <v>0</v>
      </c>
      <c r="AA73" s="14">
        <v>0</v>
      </c>
      <c r="AB73" s="15">
        <v>1</v>
      </c>
      <c r="AC73" s="1" t="s">
        <v>130</v>
      </c>
    </row>
    <row r="74" spans="1:29" x14ac:dyDescent="0.25">
      <c r="C74" s="1" t="s">
        <v>132</v>
      </c>
      <c r="E74" s="1">
        <f t="shared" si="6"/>
        <v>3</v>
      </c>
      <c r="F74" s="7">
        <f t="shared" si="7"/>
        <v>6</v>
      </c>
      <c r="G74" s="1">
        <f t="shared" si="8"/>
        <v>71</v>
      </c>
      <c r="K74" s="13">
        <v>1</v>
      </c>
      <c r="L74" s="13">
        <v>0</v>
      </c>
      <c r="M74" s="11">
        <v>0</v>
      </c>
      <c r="N74" s="11">
        <v>0</v>
      </c>
      <c r="O74" s="13">
        <v>1</v>
      </c>
      <c r="P74" s="13">
        <v>1</v>
      </c>
      <c r="Q74" s="13">
        <v>1</v>
      </c>
      <c r="R74" s="13">
        <v>0</v>
      </c>
      <c r="S74" s="13">
        <v>0</v>
      </c>
      <c r="T74" s="13">
        <v>1</v>
      </c>
      <c r="U74" s="13">
        <v>0</v>
      </c>
      <c r="V74" s="11">
        <v>0</v>
      </c>
      <c r="W74" s="11">
        <v>0</v>
      </c>
      <c r="X74" s="11">
        <v>0</v>
      </c>
      <c r="Y74" s="11">
        <v>0</v>
      </c>
      <c r="Z74" s="11">
        <v>0</v>
      </c>
      <c r="AA74" s="14">
        <v>0</v>
      </c>
      <c r="AB74" s="15">
        <v>1</v>
      </c>
      <c r="AC74" s="1" t="s">
        <v>130</v>
      </c>
    </row>
    <row r="75" spans="1:29" x14ac:dyDescent="0.25">
      <c r="C75" s="1" t="s">
        <v>133</v>
      </c>
      <c r="E75" s="1">
        <f t="shared" si="6"/>
        <v>3</v>
      </c>
      <c r="F75" s="7">
        <f t="shared" si="7"/>
        <v>7</v>
      </c>
      <c r="G75" s="1">
        <f t="shared" si="8"/>
        <v>72</v>
      </c>
      <c r="K75" s="11">
        <v>0</v>
      </c>
      <c r="L75" s="11">
        <v>0</v>
      </c>
      <c r="M75" s="11">
        <v>0</v>
      </c>
      <c r="N75" s="11">
        <v>0</v>
      </c>
      <c r="O75" s="13">
        <v>0</v>
      </c>
      <c r="P75" s="13">
        <v>1</v>
      </c>
      <c r="Q75" s="11">
        <v>0</v>
      </c>
      <c r="R75" s="11">
        <v>0</v>
      </c>
      <c r="S75" s="11">
        <v>0</v>
      </c>
      <c r="T75" s="11">
        <v>0</v>
      </c>
      <c r="U75" s="11">
        <v>0</v>
      </c>
      <c r="V75" s="11">
        <v>0</v>
      </c>
      <c r="W75" s="11">
        <v>0</v>
      </c>
      <c r="X75" s="11">
        <v>0</v>
      </c>
      <c r="Y75" s="11">
        <v>0</v>
      </c>
      <c r="Z75" s="11">
        <v>0</v>
      </c>
      <c r="AA75" s="14">
        <v>0</v>
      </c>
      <c r="AB75" s="15">
        <v>1</v>
      </c>
      <c r="AC75" s="1" t="s">
        <v>134</v>
      </c>
    </row>
    <row r="76" spans="1:29" x14ac:dyDescent="0.25">
      <c r="B76" s="1" t="s">
        <v>135</v>
      </c>
      <c r="C76" s="1" t="s">
        <v>136</v>
      </c>
      <c r="E76" s="1">
        <f t="shared" si="6"/>
        <v>2</v>
      </c>
      <c r="F76" s="7">
        <f t="shared" si="7"/>
        <v>0</v>
      </c>
      <c r="G76" s="1">
        <f t="shared" si="8"/>
        <v>73</v>
      </c>
      <c r="K76" s="13">
        <v>0</v>
      </c>
      <c r="L76" s="11">
        <v>0</v>
      </c>
      <c r="M76" s="13">
        <v>1</v>
      </c>
      <c r="N76" s="13">
        <v>1</v>
      </c>
      <c r="O76" s="13">
        <v>0</v>
      </c>
      <c r="P76" s="13">
        <v>0</v>
      </c>
      <c r="Q76" s="11">
        <v>0</v>
      </c>
      <c r="R76" s="11">
        <v>0</v>
      </c>
      <c r="S76" s="11">
        <v>0</v>
      </c>
      <c r="T76" s="11">
        <v>0</v>
      </c>
      <c r="U76" s="11">
        <v>0</v>
      </c>
      <c r="V76" s="11">
        <v>0</v>
      </c>
      <c r="W76" s="11">
        <v>0</v>
      </c>
      <c r="X76" s="11">
        <v>0</v>
      </c>
      <c r="Y76" s="11">
        <v>0</v>
      </c>
      <c r="Z76" s="11">
        <v>0</v>
      </c>
      <c r="AA76" s="14">
        <v>0</v>
      </c>
      <c r="AB76" s="15">
        <v>1</v>
      </c>
      <c r="AC76" s="1" t="s">
        <v>137</v>
      </c>
    </row>
    <row r="77" spans="1:29" x14ac:dyDescent="0.25">
      <c r="C77" s="1" t="s">
        <v>138</v>
      </c>
      <c r="E77" s="1">
        <f t="shared" si="6"/>
        <v>2</v>
      </c>
      <c r="F77" s="7">
        <f t="shared" si="7"/>
        <v>1</v>
      </c>
      <c r="G77" s="1">
        <f t="shared" si="8"/>
        <v>74</v>
      </c>
      <c r="K77" s="13">
        <v>0</v>
      </c>
      <c r="L77" s="11">
        <v>0</v>
      </c>
      <c r="M77" s="13">
        <v>0</v>
      </c>
      <c r="N77" s="13">
        <v>0</v>
      </c>
      <c r="O77" s="13">
        <v>1</v>
      </c>
      <c r="P77" s="13">
        <v>0</v>
      </c>
      <c r="Q77" s="11">
        <v>0</v>
      </c>
      <c r="R77" s="11">
        <v>0</v>
      </c>
      <c r="S77" s="11">
        <v>0</v>
      </c>
      <c r="T77" s="11">
        <v>0</v>
      </c>
      <c r="U77" s="11">
        <v>0</v>
      </c>
      <c r="V77" s="11">
        <v>0</v>
      </c>
      <c r="W77" s="11">
        <v>0</v>
      </c>
      <c r="X77" s="11">
        <v>0</v>
      </c>
      <c r="Y77" s="11">
        <v>0</v>
      </c>
      <c r="Z77" s="11">
        <v>0</v>
      </c>
      <c r="AA77" s="14">
        <v>0</v>
      </c>
      <c r="AB77" s="15">
        <v>1</v>
      </c>
      <c r="AC77" s="1" t="s">
        <v>137</v>
      </c>
    </row>
    <row r="78" spans="1:29" x14ac:dyDescent="0.25">
      <c r="C78" s="1" t="s">
        <v>139</v>
      </c>
      <c r="E78" s="1">
        <f t="shared" si="6"/>
        <v>2</v>
      </c>
      <c r="F78" s="7">
        <f t="shared" si="7"/>
        <v>2</v>
      </c>
      <c r="G78" s="1">
        <f t="shared" si="8"/>
        <v>75</v>
      </c>
      <c r="K78" s="13">
        <v>0</v>
      </c>
      <c r="L78" s="11">
        <v>0</v>
      </c>
      <c r="M78" s="13">
        <v>0</v>
      </c>
      <c r="N78" s="13">
        <v>0</v>
      </c>
      <c r="O78" s="13">
        <v>0</v>
      </c>
      <c r="P78" s="13">
        <v>1</v>
      </c>
      <c r="Q78" s="11">
        <v>0</v>
      </c>
      <c r="R78" s="11">
        <v>0</v>
      </c>
      <c r="S78" s="11">
        <v>0</v>
      </c>
      <c r="T78" s="11">
        <v>0</v>
      </c>
      <c r="U78" s="11">
        <v>0</v>
      </c>
      <c r="V78" s="11">
        <v>0</v>
      </c>
      <c r="W78" s="11">
        <v>0</v>
      </c>
      <c r="X78" s="11">
        <v>0</v>
      </c>
      <c r="Y78" s="11">
        <v>0</v>
      </c>
      <c r="Z78" s="11">
        <v>0</v>
      </c>
      <c r="AA78" s="14">
        <v>0</v>
      </c>
      <c r="AB78" s="15">
        <v>1</v>
      </c>
      <c r="AC78" s="1" t="s">
        <v>137</v>
      </c>
    </row>
    <row r="79" spans="1:29" s="16" customFormat="1" x14ac:dyDescent="0.25">
      <c r="C79" s="16" t="s">
        <v>50</v>
      </c>
      <c r="E79" s="1">
        <f t="shared" si="6"/>
        <v>2</v>
      </c>
      <c r="F79" s="7">
        <f t="shared" si="7"/>
        <v>3</v>
      </c>
      <c r="G79" s="1">
        <f t="shared" si="8"/>
        <v>76</v>
      </c>
      <c r="K79" s="17">
        <v>0</v>
      </c>
      <c r="L79" s="17">
        <v>0</v>
      </c>
      <c r="M79" s="17">
        <v>0</v>
      </c>
      <c r="N79" s="17">
        <v>0</v>
      </c>
      <c r="O79" s="17">
        <v>0</v>
      </c>
      <c r="P79" s="17">
        <v>0</v>
      </c>
      <c r="Q79" s="17">
        <v>0</v>
      </c>
      <c r="R79" s="17">
        <v>0</v>
      </c>
      <c r="S79" s="17">
        <v>0</v>
      </c>
      <c r="T79" s="17">
        <v>0</v>
      </c>
      <c r="U79" s="17">
        <v>0</v>
      </c>
      <c r="V79" s="17">
        <v>0</v>
      </c>
      <c r="W79" s="17">
        <v>0</v>
      </c>
      <c r="X79" s="17">
        <v>0</v>
      </c>
      <c r="Y79" s="17">
        <v>0</v>
      </c>
      <c r="Z79" s="17">
        <v>0</v>
      </c>
      <c r="AA79" s="14">
        <v>0</v>
      </c>
      <c r="AB79" s="15">
        <v>0</v>
      </c>
    </row>
    <row r="80" spans="1:29" x14ac:dyDescent="0.25">
      <c r="C80" s="1" t="s">
        <v>140</v>
      </c>
      <c r="E80" s="1">
        <f t="shared" si="6"/>
        <v>2</v>
      </c>
      <c r="F80" s="7">
        <f t="shared" si="7"/>
        <v>4</v>
      </c>
      <c r="G80" s="1">
        <f t="shared" si="8"/>
        <v>77</v>
      </c>
      <c r="K80" s="13">
        <v>1</v>
      </c>
      <c r="L80" s="11">
        <v>0</v>
      </c>
      <c r="M80" s="13">
        <v>0</v>
      </c>
      <c r="N80" s="13">
        <v>0</v>
      </c>
      <c r="O80" s="13">
        <v>0</v>
      </c>
      <c r="P80" s="13">
        <v>0</v>
      </c>
      <c r="Q80" s="11">
        <v>0</v>
      </c>
      <c r="R80" s="11">
        <v>0</v>
      </c>
      <c r="S80" s="11">
        <v>0</v>
      </c>
      <c r="T80" s="11">
        <v>0</v>
      </c>
      <c r="U80" s="11">
        <v>0</v>
      </c>
      <c r="V80" s="11">
        <v>0</v>
      </c>
      <c r="W80" s="11">
        <v>0</v>
      </c>
      <c r="X80" s="11">
        <v>0</v>
      </c>
      <c r="Y80" s="11">
        <v>0</v>
      </c>
      <c r="Z80" s="11">
        <v>0</v>
      </c>
      <c r="AA80" s="14">
        <v>0</v>
      </c>
      <c r="AB80" s="15">
        <v>1</v>
      </c>
      <c r="AC80" s="1" t="s">
        <v>137</v>
      </c>
    </row>
    <row r="81" spans="2:31" x14ac:dyDescent="0.25">
      <c r="C81" s="1" t="s">
        <v>141</v>
      </c>
      <c r="E81" s="1">
        <f t="shared" si="6"/>
        <v>2</v>
      </c>
      <c r="F81" s="7">
        <f t="shared" si="7"/>
        <v>5</v>
      </c>
      <c r="G81" s="1">
        <f t="shared" si="8"/>
        <v>78</v>
      </c>
      <c r="K81" s="11">
        <v>0</v>
      </c>
      <c r="L81" s="13">
        <v>1</v>
      </c>
      <c r="M81" s="11">
        <v>0</v>
      </c>
      <c r="N81" s="11">
        <v>0</v>
      </c>
      <c r="O81" s="11">
        <v>0</v>
      </c>
      <c r="P81" s="11">
        <v>0</v>
      </c>
      <c r="Q81" s="11">
        <v>0</v>
      </c>
      <c r="R81" s="13">
        <v>0</v>
      </c>
      <c r="S81" s="13">
        <v>0</v>
      </c>
      <c r="T81" s="13">
        <v>1</v>
      </c>
      <c r="U81" s="13">
        <v>0</v>
      </c>
      <c r="V81" s="11">
        <v>0</v>
      </c>
      <c r="W81" s="11">
        <v>0</v>
      </c>
      <c r="X81" s="11">
        <v>0</v>
      </c>
      <c r="Y81" s="11">
        <v>0</v>
      </c>
      <c r="Z81" s="11">
        <v>0</v>
      </c>
      <c r="AA81" s="14">
        <v>0</v>
      </c>
      <c r="AB81" s="15">
        <v>1</v>
      </c>
      <c r="AC81" s="1" t="s">
        <v>142</v>
      </c>
    </row>
    <row r="82" spans="2:31" x14ac:dyDescent="0.25">
      <c r="C82" s="1" t="s">
        <v>143</v>
      </c>
      <c r="E82" s="1">
        <f t="shared" si="6"/>
        <v>2</v>
      </c>
      <c r="F82" s="7">
        <f t="shared" si="7"/>
        <v>6</v>
      </c>
      <c r="G82" s="1">
        <f t="shared" si="8"/>
        <v>79</v>
      </c>
      <c r="K82" s="11">
        <v>0</v>
      </c>
      <c r="L82" s="13">
        <v>0</v>
      </c>
      <c r="M82" s="11">
        <v>0</v>
      </c>
      <c r="N82" s="11">
        <v>0</v>
      </c>
      <c r="O82" s="11">
        <v>0</v>
      </c>
      <c r="P82" s="11">
        <v>0</v>
      </c>
      <c r="Q82" s="11">
        <v>0</v>
      </c>
      <c r="R82" s="13">
        <v>0</v>
      </c>
      <c r="S82" s="13">
        <v>1</v>
      </c>
      <c r="T82" s="13">
        <v>1</v>
      </c>
      <c r="U82" s="13">
        <v>0</v>
      </c>
      <c r="V82" s="11">
        <v>0</v>
      </c>
      <c r="W82" s="11">
        <v>0</v>
      </c>
      <c r="X82" s="11">
        <v>0</v>
      </c>
      <c r="Y82" s="11">
        <v>0</v>
      </c>
      <c r="Z82" s="11">
        <v>0</v>
      </c>
      <c r="AA82" s="14">
        <v>0</v>
      </c>
      <c r="AB82" s="15">
        <v>1</v>
      </c>
      <c r="AC82" s="1" t="s">
        <v>142</v>
      </c>
    </row>
    <row r="83" spans="2:31" x14ac:dyDescent="0.25">
      <c r="C83" s="1" t="s">
        <v>144</v>
      </c>
      <c r="E83" s="1">
        <f t="shared" si="6"/>
        <v>2</v>
      </c>
      <c r="F83" s="7">
        <f t="shared" si="7"/>
        <v>7</v>
      </c>
      <c r="G83" s="1">
        <f t="shared" si="8"/>
        <v>80</v>
      </c>
      <c r="K83" s="11">
        <v>0</v>
      </c>
      <c r="L83" s="13">
        <v>0</v>
      </c>
      <c r="M83" s="11">
        <v>0</v>
      </c>
      <c r="N83" s="11">
        <v>0</v>
      </c>
      <c r="O83" s="11">
        <v>0</v>
      </c>
      <c r="P83" s="11">
        <v>0</v>
      </c>
      <c r="Q83" s="11">
        <v>0</v>
      </c>
      <c r="R83" s="13">
        <v>1</v>
      </c>
      <c r="S83" s="13">
        <v>0</v>
      </c>
      <c r="T83" s="13">
        <v>0</v>
      </c>
      <c r="U83" s="13">
        <v>0</v>
      </c>
      <c r="V83" s="11">
        <v>0</v>
      </c>
      <c r="W83" s="11">
        <v>0</v>
      </c>
      <c r="X83" s="11">
        <v>0</v>
      </c>
      <c r="Y83" s="11">
        <v>0</v>
      </c>
      <c r="Z83" s="11">
        <v>0</v>
      </c>
      <c r="AA83" s="14">
        <v>0</v>
      </c>
      <c r="AB83" s="15">
        <v>1</v>
      </c>
      <c r="AC83" s="1" t="s">
        <v>142</v>
      </c>
    </row>
    <row r="84" spans="2:31" x14ac:dyDescent="0.25">
      <c r="B84" s="1" t="s">
        <v>145</v>
      </c>
      <c r="C84" s="1" t="s">
        <v>146</v>
      </c>
      <c r="E84" s="1">
        <f t="shared" si="6"/>
        <v>1</v>
      </c>
      <c r="F84" s="7">
        <f t="shared" si="7"/>
        <v>0</v>
      </c>
      <c r="G84" s="1">
        <f t="shared" si="8"/>
        <v>81</v>
      </c>
      <c r="K84" s="13">
        <v>1</v>
      </c>
      <c r="L84" s="13">
        <v>0</v>
      </c>
      <c r="M84" s="13">
        <v>0</v>
      </c>
      <c r="N84" s="13">
        <v>0</v>
      </c>
      <c r="O84" s="13">
        <v>0</v>
      </c>
      <c r="P84" s="13">
        <v>0</v>
      </c>
      <c r="Q84" s="13">
        <v>0</v>
      </c>
      <c r="R84" s="13">
        <v>0</v>
      </c>
      <c r="S84" s="13">
        <v>0</v>
      </c>
      <c r="T84" s="13">
        <v>0</v>
      </c>
      <c r="U84" s="13">
        <v>0</v>
      </c>
      <c r="V84" s="13">
        <v>0</v>
      </c>
      <c r="W84" s="13">
        <v>0</v>
      </c>
      <c r="X84" s="13">
        <v>0</v>
      </c>
      <c r="Y84" s="13">
        <v>0</v>
      </c>
      <c r="Z84" s="13">
        <v>0</v>
      </c>
      <c r="AA84" s="14">
        <v>0</v>
      </c>
      <c r="AB84" s="15">
        <v>1</v>
      </c>
      <c r="AC84" s="1" t="s">
        <v>147</v>
      </c>
    </row>
    <row r="85" spans="2:31" x14ac:dyDescent="0.25">
      <c r="C85" s="1" t="s">
        <v>148</v>
      </c>
      <c r="E85" s="1">
        <f t="shared" si="6"/>
        <v>1</v>
      </c>
      <c r="F85" s="7">
        <f t="shared" si="7"/>
        <v>1</v>
      </c>
      <c r="G85" s="1">
        <f t="shared" si="8"/>
        <v>82</v>
      </c>
      <c r="K85" s="13">
        <v>0</v>
      </c>
      <c r="L85" s="13">
        <v>0</v>
      </c>
      <c r="M85" s="13">
        <v>0</v>
      </c>
      <c r="N85" s="13">
        <v>0</v>
      </c>
      <c r="O85" s="13">
        <v>0</v>
      </c>
      <c r="P85" s="13">
        <v>1</v>
      </c>
      <c r="Q85" s="13">
        <v>0</v>
      </c>
      <c r="R85" s="13">
        <v>0</v>
      </c>
      <c r="S85" s="13">
        <v>0</v>
      </c>
      <c r="T85" s="13">
        <v>0</v>
      </c>
      <c r="U85" s="13">
        <v>0</v>
      </c>
      <c r="V85" s="13">
        <v>0</v>
      </c>
      <c r="W85" s="13">
        <v>0</v>
      </c>
      <c r="X85" s="13">
        <v>0</v>
      </c>
      <c r="Y85" s="13">
        <v>0</v>
      </c>
      <c r="Z85" s="13">
        <v>0</v>
      </c>
      <c r="AA85" s="14">
        <v>0</v>
      </c>
      <c r="AB85" s="15">
        <v>1</v>
      </c>
      <c r="AC85" s="1" t="s">
        <v>149</v>
      </c>
    </row>
    <row r="86" spans="2:31" x14ac:dyDescent="0.25">
      <c r="C86" s="1" t="s">
        <v>150</v>
      </c>
      <c r="E86" s="1">
        <f t="shared" si="6"/>
        <v>1</v>
      </c>
      <c r="F86" s="7">
        <f t="shared" si="7"/>
        <v>2</v>
      </c>
      <c r="G86" s="1">
        <f t="shared" si="8"/>
        <v>83</v>
      </c>
      <c r="K86" s="13">
        <v>0</v>
      </c>
      <c r="L86" s="13">
        <v>0</v>
      </c>
      <c r="M86" s="13">
        <v>0</v>
      </c>
      <c r="N86" s="13">
        <v>0</v>
      </c>
      <c r="O86" s="13">
        <v>1</v>
      </c>
      <c r="P86" s="13">
        <v>0</v>
      </c>
      <c r="Q86" s="13">
        <v>0</v>
      </c>
      <c r="R86" s="13">
        <v>0</v>
      </c>
      <c r="S86" s="13">
        <v>0</v>
      </c>
      <c r="T86" s="13">
        <v>0</v>
      </c>
      <c r="U86" s="13">
        <v>0</v>
      </c>
      <c r="V86" s="13">
        <v>0</v>
      </c>
      <c r="W86" s="13">
        <v>0</v>
      </c>
      <c r="X86" s="13">
        <v>0</v>
      </c>
      <c r="Y86" s="13">
        <v>0</v>
      </c>
      <c r="Z86" s="13">
        <v>0</v>
      </c>
      <c r="AA86" s="14">
        <v>0</v>
      </c>
      <c r="AB86" s="15">
        <v>1</v>
      </c>
      <c r="AC86" s="1" t="s">
        <v>151</v>
      </c>
    </row>
    <row r="87" spans="2:31" x14ac:dyDescent="0.25">
      <c r="C87" s="1" t="s">
        <v>152</v>
      </c>
      <c r="E87" s="1">
        <f t="shared" si="6"/>
        <v>1</v>
      </c>
      <c r="F87" s="7">
        <f t="shared" si="7"/>
        <v>3</v>
      </c>
      <c r="G87" s="1">
        <f t="shared" si="8"/>
        <v>84</v>
      </c>
      <c r="K87" s="13">
        <v>0</v>
      </c>
      <c r="L87" s="13">
        <v>0</v>
      </c>
      <c r="M87" s="13">
        <v>1</v>
      </c>
      <c r="N87" s="13">
        <v>1</v>
      </c>
      <c r="O87" s="13">
        <v>0</v>
      </c>
      <c r="P87" s="13">
        <v>0</v>
      </c>
      <c r="Q87" s="13">
        <v>0</v>
      </c>
      <c r="R87" s="13">
        <v>0</v>
      </c>
      <c r="S87" s="13">
        <v>0</v>
      </c>
      <c r="T87" s="13">
        <v>0</v>
      </c>
      <c r="U87" s="13">
        <v>0</v>
      </c>
      <c r="V87" s="13">
        <v>0</v>
      </c>
      <c r="W87" s="13">
        <v>0</v>
      </c>
      <c r="X87" s="13">
        <v>0</v>
      </c>
      <c r="Y87" s="13">
        <v>0</v>
      </c>
      <c r="Z87" s="13">
        <v>0</v>
      </c>
      <c r="AA87" s="14">
        <v>0</v>
      </c>
      <c r="AB87" s="15">
        <v>1</v>
      </c>
      <c r="AC87" s="1" t="s">
        <v>153</v>
      </c>
    </row>
    <row r="88" spans="2:31" x14ac:dyDescent="0.25">
      <c r="C88" s="1" t="s">
        <v>154</v>
      </c>
      <c r="E88" s="1">
        <f t="shared" si="6"/>
        <v>1</v>
      </c>
      <c r="F88" s="7">
        <f t="shared" si="7"/>
        <v>4</v>
      </c>
      <c r="G88" s="1">
        <f t="shared" si="8"/>
        <v>85</v>
      </c>
      <c r="K88" s="13">
        <v>0</v>
      </c>
      <c r="L88" s="13">
        <v>1</v>
      </c>
      <c r="M88" s="13">
        <v>0</v>
      </c>
      <c r="N88" s="13">
        <v>0</v>
      </c>
      <c r="O88" s="13">
        <v>0</v>
      </c>
      <c r="P88" s="13">
        <v>0</v>
      </c>
      <c r="Q88" s="13">
        <v>0</v>
      </c>
      <c r="R88" s="13">
        <v>1</v>
      </c>
      <c r="S88" s="13">
        <v>1</v>
      </c>
      <c r="T88" s="13">
        <v>1</v>
      </c>
      <c r="U88" s="13">
        <v>1</v>
      </c>
      <c r="V88" s="13">
        <v>0</v>
      </c>
      <c r="W88" s="13">
        <v>0</v>
      </c>
      <c r="X88" s="13">
        <v>0</v>
      </c>
      <c r="Y88" s="13">
        <v>0</v>
      </c>
      <c r="Z88" s="13">
        <v>0</v>
      </c>
      <c r="AA88" s="14">
        <v>0</v>
      </c>
      <c r="AB88" s="15">
        <v>1</v>
      </c>
      <c r="AC88" s="1" t="s">
        <v>155</v>
      </c>
    </row>
    <row r="89" spans="2:31" x14ac:dyDescent="0.25">
      <c r="C89" s="1" t="s">
        <v>156</v>
      </c>
      <c r="E89" s="1">
        <f t="shared" si="6"/>
        <v>1</v>
      </c>
      <c r="F89" s="7">
        <f t="shared" si="7"/>
        <v>5</v>
      </c>
      <c r="G89" s="1">
        <f t="shared" si="8"/>
        <v>86</v>
      </c>
      <c r="K89" s="13">
        <v>0</v>
      </c>
      <c r="L89" s="13">
        <v>0</v>
      </c>
      <c r="M89" s="13">
        <v>0</v>
      </c>
      <c r="N89" s="13">
        <v>0</v>
      </c>
      <c r="O89" s="13">
        <v>0</v>
      </c>
      <c r="P89" s="13">
        <v>0</v>
      </c>
      <c r="Q89" s="13">
        <v>0</v>
      </c>
      <c r="R89" s="13">
        <v>1</v>
      </c>
      <c r="S89" s="13">
        <v>0</v>
      </c>
      <c r="T89" s="13">
        <v>0</v>
      </c>
      <c r="U89" s="13">
        <v>0</v>
      </c>
      <c r="V89" s="13">
        <v>0</v>
      </c>
      <c r="W89" s="13">
        <v>0</v>
      </c>
      <c r="X89" s="13">
        <v>0</v>
      </c>
      <c r="Y89" s="13">
        <v>0</v>
      </c>
      <c r="Z89" s="13">
        <v>0</v>
      </c>
      <c r="AA89" s="14">
        <v>0</v>
      </c>
      <c r="AB89" s="15">
        <v>1</v>
      </c>
      <c r="AC89" s="1" t="s">
        <v>157</v>
      </c>
    </row>
    <row r="90" spans="2:31" x14ac:dyDescent="0.25">
      <c r="C90" s="1" t="s">
        <v>158</v>
      </c>
      <c r="E90" s="1">
        <f t="shared" si="6"/>
        <v>1</v>
      </c>
      <c r="F90" s="7">
        <f t="shared" si="7"/>
        <v>6</v>
      </c>
      <c r="G90" s="1">
        <f t="shared" si="8"/>
        <v>87</v>
      </c>
      <c r="K90" s="13">
        <v>0</v>
      </c>
      <c r="L90" s="13">
        <v>0</v>
      </c>
      <c r="M90" s="13">
        <v>0</v>
      </c>
      <c r="N90" s="13">
        <v>0</v>
      </c>
      <c r="O90" s="13">
        <v>0</v>
      </c>
      <c r="P90" s="13">
        <v>0</v>
      </c>
      <c r="Q90" s="13">
        <v>0</v>
      </c>
      <c r="R90" s="13">
        <v>0</v>
      </c>
      <c r="S90" s="13">
        <v>1</v>
      </c>
      <c r="T90" s="13">
        <v>0</v>
      </c>
      <c r="U90" s="13">
        <v>0</v>
      </c>
      <c r="V90" s="13">
        <v>0</v>
      </c>
      <c r="W90" s="13">
        <v>0</v>
      </c>
      <c r="X90" s="13">
        <v>0</v>
      </c>
      <c r="Y90" s="13">
        <v>0</v>
      </c>
      <c r="Z90" s="13">
        <v>0</v>
      </c>
      <c r="AA90" s="14">
        <v>0</v>
      </c>
      <c r="AB90" s="15">
        <v>1</v>
      </c>
      <c r="AC90" s="1" t="s">
        <v>159</v>
      </c>
    </row>
    <row r="91" spans="2:31" x14ac:dyDescent="0.25">
      <c r="C91" s="1" t="s">
        <v>160</v>
      </c>
      <c r="E91" s="1">
        <v>1</v>
      </c>
      <c r="F91" s="7">
        <f t="shared" si="7"/>
        <v>7</v>
      </c>
      <c r="G91" s="1">
        <f t="shared" si="8"/>
        <v>88</v>
      </c>
      <c r="K91" s="11">
        <v>0</v>
      </c>
      <c r="L91" s="11">
        <v>0</v>
      </c>
      <c r="M91" s="13">
        <v>0</v>
      </c>
      <c r="N91" s="13">
        <v>1</v>
      </c>
      <c r="O91" s="11">
        <v>0</v>
      </c>
      <c r="P91" s="11">
        <v>0</v>
      </c>
      <c r="Q91" s="11">
        <v>0</v>
      </c>
      <c r="R91" s="11">
        <v>0</v>
      </c>
      <c r="S91" s="11">
        <v>0</v>
      </c>
      <c r="T91" s="11">
        <v>0</v>
      </c>
      <c r="U91" s="11">
        <v>0</v>
      </c>
      <c r="V91" s="11">
        <v>0</v>
      </c>
      <c r="W91" s="11">
        <v>0</v>
      </c>
      <c r="X91" s="11">
        <v>0</v>
      </c>
      <c r="Y91" s="11">
        <v>0</v>
      </c>
      <c r="Z91" s="11">
        <v>0</v>
      </c>
      <c r="AA91" s="14">
        <v>0</v>
      </c>
      <c r="AB91" s="15">
        <v>1</v>
      </c>
      <c r="AC91" s="1" t="s">
        <v>161</v>
      </c>
    </row>
    <row r="95" spans="2:31" x14ac:dyDescent="0.25">
      <c r="V95" s="24"/>
    </row>
    <row r="96" spans="2:31" x14ac:dyDescent="0.25">
      <c r="D96" s="1" t="s">
        <v>162</v>
      </c>
      <c r="G96"/>
      <c r="K96" s="25" t="s">
        <v>163</v>
      </c>
      <c r="L96" s="1" t="s">
        <v>164</v>
      </c>
      <c r="M96" s="25" t="s">
        <v>165</v>
      </c>
      <c r="N96" s="25" t="s">
        <v>166</v>
      </c>
      <c r="O96" s="25" t="s">
        <v>167</v>
      </c>
      <c r="P96" s="25" t="s">
        <v>168</v>
      </c>
      <c r="Q96" s="25" t="s">
        <v>169</v>
      </c>
      <c r="R96" s="25" t="s">
        <v>170</v>
      </c>
      <c r="S96" s="25" t="s">
        <v>171</v>
      </c>
      <c r="T96" s="25" t="s">
        <v>172</v>
      </c>
      <c r="U96" s="25" t="s">
        <v>173</v>
      </c>
      <c r="V96" s="25" t="s">
        <v>174</v>
      </c>
      <c r="W96" s="25" t="s">
        <v>175</v>
      </c>
      <c r="X96" s="25" t="s">
        <v>176</v>
      </c>
      <c r="Y96" s="25" t="s">
        <v>177</v>
      </c>
      <c r="Z96" s="25" t="s">
        <v>178</v>
      </c>
      <c r="AA96" s="26" t="s">
        <v>179</v>
      </c>
      <c r="AB96" s="27" t="s">
        <v>180</v>
      </c>
      <c r="AC96" s="25" t="s">
        <v>181</v>
      </c>
      <c r="AD96" s="25"/>
      <c r="AE96" s="25"/>
    </row>
    <row r="98" spans="4:28" x14ac:dyDescent="0.25">
      <c r="D98" s="1" t="s">
        <v>182</v>
      </c>
      <c r="K98" s="1" t="s">
        <v>183</v>
      </c>
      <c r="L98" s="1" t="s">
        <v>184</v>
      </c>
      <c r="M98" s="1" t="s">
        <v>185</v>
      </c>
      <c r="N98" s="1" t="s">
        <v>186</v>
      </c>
      <c r="O98" s="1" t="s">
        <v>187</v>
      </c>
      <c r="P98" s="1" t="s">
        <v>188</v>
      </c>
      <c r="Q98" s="1" t="s">
        <v>189</v>
      </c>
      <c r="R98" s="1" t="s">
        <v>190</v>
      </c>
      <c r="S98" s="1" t="s">
        <v>191</v>
      </c>
      <c r="T98" s="1" t="s">
        <v>192</v>
      </c>
      <c r="U98" s="1" t="s">
        <v>193</v>
      </c>
      <c r="V98" s="1" t="s">
        <v>194</v>
      </c>
      <c r="W98" s="1" t="s">
        <v>195</v>
      </c>
      <c r="X98" s="1" t="s">
        <v>196</v>
      </c>
      <c r="Y98" s="1" t="s">
        <v>197</v>
      </c>
      <c r="Z98" s="1" t="s">
        <v>198</v>
      </c>
      <c r="AA98" s="2" t="s">
        <v>199</v>
      </c>
      <c r="AB98" s="3" t="s">
        <v>200</v>
      </c>
    </row>
    <row r="100" spans="4:28" x14ac:dyDescent="0.25">
      <c r="D100" s="1" t="s">
        <v>201</v>
      </c>
    </row>
    <row r="107" spans="4:28" x14ac:dyDescent="0.25">
      <c r="K107" s="25"/>
      <c r="M107" s="25"/>
      <c r="N107" s="25"/>
      <c r="O107" s="25"/>
      <c r="P107" s="25"/>
      <c r="Q107" s="25"/>
      <c r="R107" s="25"/>
      <c r="S107" s="25"/>
      <c r="T107" s="25"/>
      <c r="U107" s="25"/>
      <c r="V107" s="25"/>
      <c r="W107" s="25"/>
      <c r="X107" s="25"/>
      <c r="Y107" s="25"/>
      <c r="Z107" s="25"/>
      <c r="AA107" s="26"/>
      <c r="AB107" s="27"/>
    </row>
    <row r="108" spans="4:28" x14ac:dyDescent="0.25">
      <c r="K108" s="25"/>
      <c r="L108"/>
      <c r="M108" s="25"/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  <c r="Z108" s="25"/>
      <c r="AA108" s="26"/>
      <c r="AB108" s="27"/>
    </row>
  </sheetData>
  <pageMargins left="0.7" right="0.7" top="0.75" bottom="0.75" header="0.51180555555555496" footer="0.51180555555555496"/>
  <pageSetup paperSize="9" firstPageNumber="0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AMJ17"/>
  <sheetViews>
    <sheetView topLeftCell="A18" zoomScaleNormal="100" workbookViewId="0">
      <selection activeCell="E16" activeCellId="1" sqref="I106:AC109 E16"/>
    </sheetView>
  </sheetViews>
  <sheetFormatPr defaultColWidth="9.140625" defaultRowHeight="15" x14ac:dyDescent="0.25"/>
  <cols>
    <col min="1" max="3" width="9.140625" style="1"/>
    <col min="4" max="4" width="12.28515625" style="1" customWidth="1"/>
    <col min="5" max="1024" width="9.140625" style="1"/>
  </cols>
  <sheetData>
    <row r="5" spans="3:5" x14ac:dyDescent="0.25">
      <c r="D5" s="28" t="s">
        <v>202</v>
      </c>
      <c r="E5" s="28" t="s">
        <v>203</v>
      </c>
    </row>
    <row r="6" spans="3:5" x14ac:dyDescent="0.25">
      <c r="D6" s="28">
        <v>0</v>
      </c>
      <c r="E6" s="28" t="s">
        <v>204</v>
      </c>
    </row>
    <row r="7" spans="3:5" x14ac:dyDescent="0.25">
      <c r="D7" s="28">
        <v>1</v>
      </c>
      <c r="E7" s="28" t="s">
        <v>205</v>
      </c>
    </row>
    <row r="8" spans="3:5" x14ac:dyDescent="0.25">
      <c r="E8" s="29"/>
    </row>
    <row r="10" spans="3:5" x14ac:dyDescent="0.25">
      <c r="C10" s="1" t="s">
        <v>206</v>
      </c>
      <c r="D10" s="28" t="s">
        <v>207</v>
      </c>
      <c r="E10" s="28"/>
    </row>
    <row r="11" spans="3:5" x14ac:dyDescent="0.25">
      <c r="D11" s="28">
        <v>0</v>
      </c>
      <c r="E11" s="28" t="s">
        <v>208</v>
      </c>
    </row>
    <row r="12" spans="3:5" x14ac:dyDescent="0.25">
      <c r="D12" s="28">
        <v>1</v>
      </c>
      <c r="E12" s="28" t="s">
        <v>209</v>
      </c>
    </row>
    <row r="15" spans="3:5" x14ac:dyDescent="0.25">
      <c r="C15" s="1" t="s">
        <v>210</v>
      </c>
      <c r="D15" s="28" t="s">
        <v>211</v>
      </c>
      <c r="E15" s="28"/>
    </row>
    <row r="16" spans="3:5" x14ac:dyDescent="0.25">
      <c r="D16" s="28">
        <v>0</v>
      </c>
      <c r="E16" s="28" t="s">
        <v>212</v>
      </c>
    </row>
    <row r="17" spans="4:5" x14ac:dyDescent="0.25">
      <c r="D17" s="28">
        <v>1</v>
      </c>
      <c r="E17" s="28" t="s">
        <v>213</v>
      </c>
    </row>
  </sheetData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/>
  <headerFooter>
    <oddHeader>&amp;C&amp;"Times New Roman,Regular"&amp;12&amp;A</oddHeader>
    <oddFooter>&amp;C&amp;"Times New Roman,Regular"&amp;12Page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6:AMJ26"/>
  <sheetViews>
    <sheetView zoomScaleNormal="100" workbookViewId="0">
      <selection activeCell="D25" activeCellId="1" sqref="I106:AC109 D25"/>
    </sheetView>
  </sheetViews>
  <sheetFormatPr defaultColWidth="9.140625" defaultRowHeight="15" x14ac:dyDescent="0.25"/>
  <cols>
    <col min="1" max="3" width="9.140625" style="1"/>
    <col min="4" max="5" width="11.5703125" style="1" customWidth="1"/>
    <col min="6" max="6" width="27.28515625" style="1" customWidth="1"/>
    <col min="7" max="1024" width="9.140625" style="1"/>
  </cols>
  <sheetData>
    <row r="6" spans="3:6" x14ac:dyDescent="0.25">
      <c r="D6" s="30" t="s">
        <v>214</v>
      </c>
      <c r="E6" s="30" t="s">
        <v>215</v>
      </c>
      <c r="F6" s="30" t="s">
        <v>216</v>
      </c>
    </row>
    <row r="7" spans="3:6" x14ac:dyDescent="0.25">
      <c r="D7" s="30">
        <v>0</v>
      </c>
      <c r="E7" s="30">
        <v>0</v>
      </c>
      <c r="F7" s="30" t="s">
        <v>217</v>
      </c>
    </row>
    <row r="8" spans="3:6" x14ac:dyDescent="0.25">
      <c r="D8" s="30">
        <v>0</v>
      </c>
      <c r="E8" s="30">
        <v>1</v>
      </c>
      <c r="F8" s="30" t="s">
        <v>205</v>
      </c>
    </row>
    <row r="9" spans="3:6" x14ac:dyDescent="0.25">
      <c r="D9" s="30">
        <v>1</v>
      </c>
      <c r="E9" s="30">
        <v>0</v>
      </c>
      <c r="F9" s="30" t="s">
        <v>204</v>
      </c>
    </row>
    <row r="10" spans="3:6" x14ac:dyDescent="0.25">
      <c r="D10" s="30">
        <v>1</v>
      </c>
      <c r="E10" s="30">
        <v>1</v>
      </c>
      <c r="F10" s="30" t="s">
        <v>218</v>
      </c>
    </row>
    <row r="11" spans="3:6" x14ac:dyDescent="0.25">
      <c r="F11" s="29"/>
    </row>
    <row r="12" spans="3:6" x14ac:dyDescent="0.25">
      <c r="F12" s="29"/>
    </row>
    <row r="13" spans="3:6" x14ac:dyDescent="0.25">
      <c r="F13" s="29"/>
    </row>
    <row r="14" spans="3:6" x14ac:dyDescent="0.25">
      <c r="F14" s="29"/>
    </row>
    <row r="15" spans="3:6" x14ac:dyDescent="0.25">
      <c r="C15" s="1" t="s">
        <v>219</v>
      </c>
      <c r="D15" s="30" t="s">
        <v>220</v>
      </c>
      <c r="E15" s="30" t="s">
        <v>221</v>
      </c>
      <c r="F15" s="30"/>
    </row>
    <row r="16" spans="3:6" x14ac:dyDescent="0.25">
      <c r="D16" s="30">
        <v>0</v>
      </c>
      <c r="E16" s="30">
        <v>0</v>
      </c>
      <c r="F16" s="30" t="s">
        <v>222</v>
      </c>
    </row>
    <row r="17" spans="3:6" x14ac:dyDescent="0.25">
      <c r="D17" s="30">
        <v>0</v>
      </c>
      <c r="E17" s="30">
        <v>1</v>
      </c>
      <c r="F17" s="30"/>
    </row>
    <row r="18" spans="3:6" x14ac:dyDescent="0.25">
      <c r="D18" s="30">
        <v>1</v>
      </c>
      <c r="E18" s="30">
        <v>0</v>
      </c>
      <c r="F18" s="30" t="s">
        <v>223</v>
      </c>
    </row>
    <row r="19" spans="3:6" x14ac:dyDescent="0.25">
      <c r="D19" s="30">
        <v>1</v>
      </c>
      <c r="E19" s="30">
        <v>1</v>
      </c>
      <c r="F19" s="30" t="s">
        <v>224</v>
      </c>
    </row>
    <row r="22" spans="3:6" x14ac:dyDescent="0.25">
      <c r="C22" s="1" t="s">
        <v>225</v>
      </c>
      <c r="D22" s="30" t="s">
        <v>220</v>
      </c>
      <c r="E22" s="30" t="s">
        <v>221</v>
      </c>
      <c r="F22" s="30"/>
    </row>
    <row r="23" spans="3:6" x14ac:dyDescent="0.25">
      <c r="D23" s="30">
        <v>0</v>
      </c>
      <c r="E23" s="30">
        <v>0</v>
      </c>
      <c r="F23" s="30" t="s">
        <v>226</v>
      </c>
    </row>
    <row r="24" spans="3:6" x14ac:dyDescent="0.25">
      <c r="D24" s="30">
        <v>0</v>
      </c>
      <c r="E24" s="30">
        <v>1</v>
      </c>
      <c r="F24" s="30" t="s">
        <v>227</v>
      </c>
    </row>
    <row r="25" spans="3:6" x14ac:dyDescent="0.25">
      <c r="D25" s="30">
        <v>1</v>
      </c>
      <c r="E25" s="30">
        <v>0</v>
      </c>
      <c r="F25" s="30" t="s">
        <v>228</v>
      </c>
    </row>
    <row r="26" spans="3:6" x14ac:dyDescent="0.25">
      <c r="D26" s="30">
        <v>1</v>
      </c>
      <c r="E26" s="30">
        <v>1</v>
      </c>
      <c r="F26" s="30"/>
    </row>
  </sheetData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/>
  <headerFooter>
    <oddHeader>&amp;C&amp;"Times New Roman,Regular"&amp;12&amp;A</oddHeader>
    <oddFooter>&amp;C&amp;"Times New Roman,Regular"&amp;12Page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AMJ27"/>
  <sheetViews>
    <sheetView zoomScaleNormal="100" workbookViewId="0">
      <selection activeCell="F18" activeCellId="1" sqref="I106:AC109 F18"/>
    </sheetView>
  </sheetViews>
  <sheetFormatPr defaultColWidth="9.140625" defaultRowHeight="15" x14ac:dyDescent="0.25"/>
  <cols>
    <col min="1" max="3" width="9.140625" style="1"/>
    <col min="4" max="6" width="11.5703125" style="1" customWidth="1"/>
    <col min="7" max="1024" width="9.140625" style="1"/>
  </cols>
  <sheetData>
    <row r="5" spans="3:7" x14ac:dyDescent="0.25">
      <c r="D5" s="30" t="s">
        <v>229</v>
      </c>
      <c r="E5" s="30" t="s">
        <v>214</v>
      </c>
      <c r="F5" s="30" t="s">
        <v>215</v>
      </c>
      <c r="G5" s="30"/>
    </row>
    <row r="6" spans="3:7" x14ac:dyDescent="0.25">
      <c r="D6" s="30">
        <v>0</v>
      </c>
      <c r="E6" s="30">
        <v>0</v>
      </c>
      <c r="F6" s="30">
        <v>0</v>
      </c>
      <c r="G6" s="30" t="s">
        <v>217</v>
      </c>
    </row>
    <row r="7" spans="3:7" x14ac:dyDescent="0.25">
      <c r="D7" s="30">
        <v>0</v>
      </c>
      <c r="E7" s="30">
        <v>0</v>
      </c>
      <c r="F7" s="30">
        <v>1</v>
      </c>
      <c r="G7" s="30" t="s">
        <v>205</v>
      </c>
    </row>
    <row r="8" spans="3:7" x14ac:dyDescent="0.25">
      <c r="D8" s="30">
        <v>0</v>
      </c>
      <c r="E8" s="30">
        <v>1</v>
      </c>
      <c r="F8" s="30">
        <v>0</v>
      </c>
      <c r="G8" s="30" t="s">
        <v>204</v>
      </c>
    </row>
    <row r="9" spans="3:7" x14ac:dyDescent="0.25">
      <c r="D9" s="30">
        <v>0</v>
      </c>
      <c r="E9" s="30">
        <v>1</v>
      </c>
      <c r="F9" s="30">
        <v>1</v>
      </c>
      <c r="G9" s="30" t="s">
        <v>218</v>
      </c>
    </row>
    <row r="10" spans="3:7" x14ac:dyDescent="0.25">
      <c r="D10" s="30">
        <v>1</v>
      </c>
      <c r="E10" s="30">
        <v>0</v>
      </c>
      <c r="F10" s="30">
        <v>0</v>
      </c>
      <c r="G10" s="30" t="s">
        <v>230</v>
      </c>
    </row>
    <row r="11" spans="3:7" x14ac:dyDescent="0.25">
      <c r="F11" s="29"/>
    </row>
    <row r="14" spans="3:7" x14ac:dyDescent="0.25">
      <c r="C14" s="1" t="s">
        <v>231</v>
      </c>
      <c r="D14" s="30" t="s">
        <v>232</v>
      </c>
      <c r="E14" s="30" t="s">
        <v>233</v>
      </c>
      <c r="F14" s="30" t="s">
        <v>234</v>
      </c>
      <c r="G14" s="30"/>
    </row>
    <row r="15" spans="3:7" x14ac:dyDescent="0.25">
      <c r="D15" s="30">
        <v>0</v>
      </c>
      <c r="E15" s="30">
        <v>0</v>
      </c>
      <c r="F15" s="30">
        <v>0</v>
      </c>
      <c r="G15" s="30">
        <v>3500</v>
      </c>
    </row>
    <row r="16" spans="3:7" x14ac:dyDescent="0.25">
      <c r="D16" s="30">
        <v>0</v>
      </c>
      <c r="E16" s="30">
        <v>0</v>
      </c>
      <c r="F16" s="30">
        <v>1</v>
      </c>
      <c r="G16" s="30">
        <v>1280</v>
      </c>
    </row>
    <row r="17" spans="3:7" x14ac:dyDescent="0.25">
      <c r="D17" s="30">
        <v>0</v>
      </c>
      <c r="E17" s="30">
        <v>1</v>
      </c>
      <c r="F17" s="30">
        <v>0</v>
      </c>
      <c r="G17" s="30">
        <v>2400</v>
      </c>
    </row>
    <row r="18" spans="3:7" x14ac:dyDescent="0.25">
      <c r="D18" s="30">
        <v>0</v>
      </c>
      <c r="E18" s="30">
        <v>1</v>
      </c>
      <c r="F18" s="30">
        <v>1</v>
      </c>
      <c r="G18" s="30">
        <v>4000</v>
      </c>
    </row>
    <row r="19" spans="3:7" x14ac:dyDescent="0.25">
      <c r="D19" s="30">
        <v>1</v>
      </c>
      <c r="E19" s="30">
        <v>0</v>
      </c>
      <c r="F19" s="30">
        <v>0</v>
      </c>
      <c r="G19" s="30">
        <v>920</v>
      </c>
    </row>
    <row r="22" spans="3:7" x14ac:dyDescent="0.25">
      <c r="C22" s="1" t="s">
        <v>235</v>
      </c>
      <c r="D22" s="30" t="s">
        <v>236</v>
      </c>
      <c r="E22" s="30" t="s">
        <v>237</v>
      </c>
      <c r="F22" s="30" t="s">
        <v>238</v>
      </c>
      <c r="G22" s="30"/>
    </row>
    <row r="23" spans="3:7" x14ac:dyDescent="0.25">
      <c r="D23" s="30">
        <v>0</v>
      </c>
      <c r="E23" s="30">
        <v>0</v>
      </c>
      <c r="F23" s="30">
        <v>0</v>
      </c>
      <c r="G23" s="30">
        <v>3500</v>
      </c>
    </row>
    <row r="24" spans="3:7" x14ac:dyDescent="0.25">
      <c r="D24" s="30">
        <v>0</v>
      </c>
      <c r="E24" s="30">
        <v>0</v>
      </c>
      <c r="F24" s="30">
        <v>1</v>
      </c>
      <c r="G24" s="30">
        <v>4000</v>
      </c>
    </row>
    <row r="25" spans="3:7" x14ac:dyDescent="0.25">
      <c r="D25" s="30">
        <v>0</v>
      </c>
      <c r="E25" s="30">
        <v>1</v>
      </c>
      <c r="F25" s="30">
        <v>0</v>
      </c>
      <c r="G25" s="30">
        <v>1280</v>
      </c>
    </row>
    <row r="26" spans="3:7" x14ac:dyDescent="0.25">
      <c r="D26" s="30">
        <v>0</v>
      </c>
      <c r="E26" s="30">
        <v>1</v>
      </c>
      <c r="F26" s="30">
        <v>1</v>
      </c>
      <c r="G26" s="30">
        <v>2400</v>
      </c>
    </row>
    <row r="27" spans="3:7" x14ac:dyDescent="0.25">
      <c r="D27" s="30">
        <v>1</v>
      </c>
      <c r="E27" s="30">
        <v>0</v>
      </c>
      <c r="F27" s="30">
        <v>0</v>
      </c>
      <c r="G27" s="30">
        <v>920</v>
      </c>
    </row>
  </sheetData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/>
  <headerFooter>
    <oddHeader>&amp;C&amp;"Times New Roman,Regular"&amp;12&amp;A</oddHeader>
    <oddFooter>&amp;C&amp;"Times New Roman,Regular"&amp;12Page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AMJ57"/>
  <sheetViews>
    <sheetView zoomScaleNormal="100" workbookViewId="0">
      <selection activeCell="D30" activeCellId="1" sqref="I106:AC109 D30"/>
    </sheetView>
  </sheetViews>
  <sheetFormatPr defaultColWidth="9.140625" defaultRowHeight="15" x14ac:dyDescent="0.25"/>
  <cols>
    <col min="1" max="2" width="9.140625" style="1"/>
    <col min="3" max="3" width="9.85546875" style="1" customWidth="1"/>
    <col min="4" max="6" width="11.5703125" style="1" customWidth="1"/>
    <col min="7" max="1024" width="9.140625" style="1"/>
  </cols>
  <sheetData>
    <row r="5" spans="3:7" x14ac:dyDescent="0.25">
      <c r="D5" s="30" t="s">
        <v>229</v>
      </c>
      <c r="E5" s="30" t="s">
        <v>214</v>
      </c>
      <c r="F5" s="30" t="s">
        <v>215</v>
      </c>
      <c r="G5" s="30"/>
    </row>
    <row r="6" spans="3:7" x14ac:dyDescent="0.25">
      <c r="D6" s="30">
        <v>0</v>
      </c>
      <c r="E6" s="30">
        <v>0</v>
      </c>
      <c r="F6" s="30">
        <v>0</v>
      </c>
      <c r="G6" s="30" t="s">
        <v>217</v>
      </c>
    </row>
    <row r="7" spans="3:7" x14ac:dyDescent="0.25">
      <c r="D7" s="30">
        <v>0</v>
      </c>
      <c r="E7" s="30">
        <v>0</v>
      </c>
      <c r="F7" s="30">
        <v>1</v>
      </c>
      <c r="G7" s="30" t="s">
        <v>205</v>
      </c>
    </row>
    <row r="8" spans="3:7" x14ac:dyDescent="0.25">
      <c r="D8" s="30">
        <v>0</v>
      </c>
      <c r="E8" s="30">
        <v>1</v>
      </c>
      <c r="F8" s="30">
        <v>0</v>
      </c>
      <c r="G8" s="30" t="s">
        <v>204</v>
      </c>
    </row>
    <row r="9" spans="3:7" x14ac:dyDescent="0.25">
      <c r="D9" s="30">
        <v>0</v>
      </c>
      <c r="E9" s="30">
        <v>1</v>
      </c>
      <c r="F9" s="30">
        <v>1</v>
      </c>
      <c r="G9" s="30" t="s">
        <v>218</v>
      </c>
    </row>
    <row r="10" spans="3:7" x14ac:dyDescent="0.25">
      <c r="D10" s="30">
        <v>1</v>
      </c>
      <c r="E10" s="30">
        <v>0</v>
      </c>
      <c r="F10" s="30">
        <v>0</v>
      </c>
      <c r="G10" s="30" t="s">
        <v>230</v>
      </c>
    </row>
    <row r="11" spans="3:7" x14ac:dyDescent="0.25">
      <c r="D11" s="30">
        <v>1</v>
      </c>
      <c r="E11" s="30">
        <v>0</v>
      </c>
      <c r="F11" s="30">
        <v>1</v>
      </c>
      <c r="G11" s="30" t="s">
        <v>239</v>
      </c>
    </row>
    <row r="12" spans="3:7" x14ac:dyDescent="0.25">
      <c r="F12" s="29"/>
    </row>
    <row r="15" spans="3:7" x14ac:dyDescent="0.25">
      <c r="C15" s="1" t="s">
        <v>240</v>
      </c>
      <c r="D15" s="30" t="s">
        <v>241</v>
      </c>
      <c r="E15" s="30" t="s">
        <v>242</v>
      </c>
      <c r="F15" s="30" t="s">
        <v>243</v>
      </c>
      <c r="G15" s="30"/>
    </row>
    <row r="16" spans="3:7" x14ac:dyDescent="0.25">
      <c r="D16" s="30">
        <v>0</v>
      </c>
      <c r="E16" s="30">
        <v>0</v>
      </c>
      <c r="F16" s="30">
        <v>0</v>
      </c>
      <c r="G16" s="30">
        <v>1280</v>
      </c>
    </row>
    <row r="17" spans="3:8" x14ac:dyDescent="0.25">
      <c r="D17" s="30">
        <v>0</v>
      </c>
      <c r="E17" s="30">
        <v>0</v>
      </c>
      <c r="F17" s="30">
        <v>1</v>
      </c>
      <c r="G17" s="30">
        <v>3500</v>
      </c>
    </row>
    <row r="18" spans="3:8" x14ac:dyDescent="0.25">
      <c r="D18" s="30">
        <v>0</v>
      </c>
      <c r="E18" s="30">
        <v>1</v>
      </c>
      <c r="F18" s="30">
        <v>0</v>
      </c>
      <c r="G18" s="30">
        <v>4000</v>
      </c>
    </row>
    <row r="19" spans="3:8" x14ac:dyDescent="0.25">
      <c r="D19" s="30">
        <v>0</v>
      </c>
      <c r="E19" s="30">
        <v>1</v>
      </c>
      <c r="F19" s="30">
        <v>1</v>
      </c>
      <c r="G19" s="30">
        <v>2400</v>
      </c>
    </row>
    <row r="20" spans="3:8" x14ac:dyDescent="0.25">
      <c r="D20" s="30">
        <v>1</v>
      </c>
      <c r="E20" s="30">
        <v>0</v>
      </c>
      <c r="F20" s="30">
        <v>0</v>
      </c>
      <c r="G20" s="30" t="s">
        <v>244</v>
      </c>
    </row>
    <row r="21" spans="3:8" x14ac:dyDescent="0.25">
      <c r="D21" s="30">
        <v>1</v>
      </c>
      <c r="E21" s="30">
        <v>0</v>
      </c>
      <c r="F21" s="30">
        <v>1</v>
      </c>
      <c r="G21" s="30">
        <v>920</v>
      </c>
    </row>
    <row r="24" spans="3:8" x14ac:dyDescent="0.25">
      <c r="C24" s="1" t="s">
        <v>245</v>
      </c>
      <c r="D24" s="30" t="s">
        <v>246</v>
      </c>
      <c r="E24" s="30" t="s">
        <v>247</v>
      </c>
      <c r="F24" s="30" t="s">
        <v>248</v>
      </c>
      <c r="G24" s="30" t="s">
        <v>249</v>
      </c>
      <c r="H24" s="28" t="s">
        <v>250</v>
      </c>
    </row>
    <row r="25" spans="3:8" x14ac:dyDescent="0.25">
      <c r="D25" s="30">
        <v>0</v>
      </c>
      <c r="E25" s="30">
        <v>0</v>
      </c>
      <c r="F25" s="30">
        <v>0</v>
      </c>
      <c r="G25" s="30" t="s">
        <v>227</v>
      </c>
      <c r="H25" s="1" t="s">
        <v>227</v>
      </c>
    </row>
    <row r="26" spans="3:8" x14ac:dyDescent="0.25">
      <c r="D26" s="30">
        <v>0</v>
      </c>
      <c r="E26" s="30">
        <v>0</v>
      </c>
      <c r="F26" s="30">
        <v>1</v>
      </c>
      <c r="G26" s="30" t="s">
        <v>209</v>
      </c>
      <c r="H26" s="1" t="s">
        <v>208</v>
      </c>
    </row>
    <row r="27" spans="3:8" x14ac:dyDescent="0.25">
      <c r="D27" s="30">
        <v>0</v>
      </c>
      <c r="E27" s="30">
        <v>1</v>
      </c>
      <c r="F27" s="30">
        <v>0</v>
      </c>
      <c r="G27" s="30" t="s">
        <v>226</v>
      </c>
      <c r="H27" s="1" t="s">
        <v>226</v>
      </c>
    </row>
    <row r="28" spans="3:8" x14ac:dyDescent="0.25">
      <c r="D28" s="30">
        <v>0</v>
      </c>
      <c r="E28" s="30">
        <v>1</v>
      </c>
      <c r="F28" s="30">
        <v>1</v>
      </c>
      <c r="G28" s="30" t="s">
        <v>208</v>
      </c>
    </row>
    <row r="29" spans="3:8" x14ac:dyDescent="0.25">
      <c r="D29" s="30">
        <v>1</v>
      </c>
      <c r="E29" s="30">
        <v>0</v>
      </c>
      <c r="F29" s="30">
        <v>0</v>
      </c>
      <c r="G29" s="30" t="s">
        <v>228</v>
      </c>
      <c r="H29" s="1" t="s">
        <v>228</v>
      </c>
    </row>
    <row r="30" spans="3:8" x14ac:dyDescent="0.25">
      <c r="D30" s="30">
        <v>1</v>
      </c>
      <c r="E30" s="30">
        <v>0</v>
      </c>
      <c r="F30" s="30">
        <v>1</v>
      </c>
      <c r="G30" s="30"/>
      <c r="H30" s="1" t="s">
        <v>209</v>
      </c>
    </row>
    <row r="33" spans="3:7" x14ac:dyDescent="0.25">
      <c r="C33" s="1" t="s">
        <v>251</v>
      </c>
      <c r="D33" s="30" t="s">
        <v>252</v>
      </c>
      <c r="E33" s="30" t="s">
        <v>253</v>
      </c>
      <c r="F33" s="30" t="s">
        <v>254</v>
      </c>
      <c r="G33" s="30"/>
    </row>
    <row r="34" spans="3:7" x14ac:dyDescent="0.25">
      <c r="D34" s="30">
        <v>0</v>
      </c>
      <c r="E34" s="30">
        <v>0</v>
      </c>
      <c r="F34" s="30">
        <v>0</v>
      </c>
      <c r="G34" s="30" t="s">
        <v>228</v>
      </c>
    </row>
    <row r="35" spans="3:7" x14ac:dyDescent="0.25">
      <c r="D35" s="30">
        <v>0</v>
      </c>
      <c r="E35" s="30">
        <v>0</v>
      </c>
      <c r="F35" s="30">
        <v>1</v>
      </c>
      <c r="G35" s="30" t="s">
        <v>208</v>
      </c>
    </row>
    <row r="36" spans="3:7" x14ac:dyDescent="0.25">
      <c r="D36" s="30">
        <v>0</v>
      </c>
      <c r="E36" s="30">
        <v>1</v>
      </c>
      <c r="F36" s="30">
        <v>0</v>
      </c>
      <c r="G36" s="30" t="s">
        <v>226</v>
      </c>
    </row>
    <row r="37" spans="3:7" x14ac:dyDescent="0.25">
      <c r="D37" s="30">
        <v>0</v>
      </c>
      <c r="E37" s="30">
        <v>1</v>
      </c>
      <c r="F37" s="30">
        <v>1</v>
      </c>
      <c r="G37" s="30" t="s">
        <v>209</v>
      </c>
    </row>
    <row r="38" spans="3:7" x14ac:dyDescent="0.25">
      <c r="D38" s="30">
        <v>1</v>
      </c>
      <c r="E38" s="30">
        <v>0</v>
      </c>
      <c r="F38" s="30">
        <v>0</v>
      </c>
      <c r="G38" s="30" t="s">
        <v>227</v>
      </c>
    </row>
    <row r="39" spans="3:7" x14ac:dyDescent="0.25">
      <c r="D39" s="30">
        <v>1</v>
      </c>
      <c r="E39" s="30">
        <v>0</v>
      </c>
      <c r="F39" s="30">
        <v>1</v>
      </c>
      <c r="G39" s="30"/>
    </row>
    <row r="42" spans="3:7" x14ac:dyDescent="0.25">
      <c r="C42" s="1" t="s">
        <v>255</v>
      </c>
      <c r="D42" s="30" t="s">
        <v>256</v>
      </c>
      <c r="E42" s="30" t="s">
        <v>220</v>
      </c>
      <c r="F42" s="30" t="s">
        <v>221</v>
      </c>
      <c r="G42" s="30"/>
    </row>
    <row r="43" spans="3:7" x14ac:dyDescent="0.25">
      <c r="D43" s="30">
        <v>0</v>
      </c>
      <c r="E43" s="30">
        <v>0</v>
      </c>
      <c r="F43" s="30">
        <v>0</v>
      </c>
      <c r="G43" s="30" t="s">
        <v>208</v>
      </c>
    </row>
    <row r="44" spans="3:7" x14ac:dyDescent="0.25">
      <c r="D44" s="30">
        <v>0</v>
      </c>
      <c r="E44" s="30">
        <v>0</v>
      </c>
      <c r="F44" s="30">
        <v>1</v>
      </c>
      <c r="G44" s="30" t="s">
        <v>227</v>
      </c>
    </row>
    <row r="45" spans="3:7" x14ac:dyDescent="0.25">
      <c r="D45" s="30">
        <v>0</v>
      </c>
      <c r="E45" s="30">
        <v>1</v>
      </c>
      <c r="F45" s="30">
        <v>0</v>
      </c>
      <c r="G45" s="30"/>
    </row>
    <row r="46" spans="3:7" x14ac:dyDescent="0.25">
      <c r="D46" s="30">
        <v>0</v>
      </c>
      <c r="E46" s="30">
        <v>1</v>
      </c>
      <c r="F46" s="30">
        <v>1</v>
      </c>
      <c r="G46" s="30" t="s">
        <v>226</v>
      </c>
    </row>
    <row r="47" spans="3:7" x14ac:dyDescent="0.25">
      <c r="D47" s="30">
        <v>1</v>
      </c>
      <c r="E47" s="30">
        <v>0</v>
      </c>
      <c r="F47" s="30">
        <v>0</v>
      </c>
      <c r="G47" s="30" t="s">
        <v>209</v>
      </c>
    </row>
    <row r="48" spans="3:7" x14ac:dyDescent="0.25">
      <c r="D48" s="30">
        <v>1</v>
      </c>
      <c r="E48" s="30">
        <v>0</v>
      </c>
      <c r="F48" s="30">
        <v>1</v>
      </c>
      <c r="G48" s="30" t="s">
        <v>228</v>
      </c>
    </row>
    <row r="51" spans="3:7" x14ac:dyDescent="0.25">
      <c r="C51" s="1" t="s">
        <v>257</v>
      </c>
      <c r="D51" s="30" t="s">
        <v>258</v>
      </c>
      <c r="E51" s="30" t="s">
        <v>259</v>
      </c>
      <c r="F51" s="30" t="s">
        <v>260</v>
      </c>
      <c r="G51" s="30"/>
    </row>
    <row r="52" spans="3:7" x14ac:dyDescent="0.25">
      <c r="D52" s="30">
        <v>0</v>
      </c>
      <c r="E52" s="30">
        <v>0</v>
      </c>
      <c r="F52" s="30">
        <v>0</v>
      </c>
      <c r="G52" s="30" t="s">
        <v>208</v>
      </c>
    </row>
    <row r="53" spans="3:7" x14ac:dyDescent="0.25">
      <c r="D53" s="30">
        <v>0</v>
      </c>
      <c r="E53" s="30">
        <v>0</v>
      </c>
      <c r="F53" s="30">
        <v>1</v>
      </c>
      <c r="G53" s="30" t="s">
        <v>227</v>
      </c>
    </row>
    <row r="54" spans="3:7" x14ac:dyDescent="0.25">
      <c r="D54" s="30">
        <v>0</v>
      </c>
      <c r="E54" s="30">
        <v>1</v>
      </c>
      <c r="F54" s="30">
        <v>0</v>
      </c>
      <c r="G54" s="30"/>
    </row>
    <row r="55" spans="3:7" x14ac:dyDescent="0.25">
      <c r="D55" s="30">
        <v>0</v>
      </c>
      <c r="E55" s="30">
        <v>1</v>
      </c>
      <c r="F55" s="30">
        <v>1</v>
      </c>
      <c r="G55" s="30" t="s">
        <v>226</v>
      </c>
    </row>
    <row r="56" spans="3:7" x14ac:dyDescent="0.25">
      <c r="D56" s="30">
        <v>1</v>
      </c>
      <c r="E56" s="30">
        <v>0</v>
      </c>
      <c r="F56" s="30">
        <v>0</v>
      </c>
      <c r="G56" s="30" t="s">
        <v>209</v>
      </c>
    </row>
    <row r="57" spans="3:7" x14ac:dyDescent="0.25">
      <c r="D57" s="30">
        <v>1</v>
      </c>
      <c r="E57" s="30">
        <v>0</v>
      </c>
      <c r="F57" s="30">
        <v>1</v>
      </c>
      <c r="G57" s="30" t="s">
        <v>228</v>
      </c>
    </row>
  </sheetData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/>
  <headerFooter>
    <oddHeader>&amp;C&amp;"Times New Roman,Regular"&amp;12&amp;A</oddHeader>
    <oddFooter>&amp;C&amp;"Times New Roman,Regular"&amp;12Page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AMJ25"/>
  <sheetViews>
    <sheetView zoomScaleNormal="100" workbookViewId="0">
      <selection activeCell="G19" activeCellId="1" sqref="I106:AC109 G19"/>
    </sheetView>
  </sheetViews>
  <sheetFormatPr defaultColWidth="9.140625" defaultRowHeight="15" x14ac:dyDescent="0.25"/>
  <cols>
    <col min="1" max="2" width="9.140625" style="1"/>
    <col min="3" max="3" width="9.85546875" style="1" customWidth="1"/>
    <col min="4" max="6" width="11.5703125" style="1" customWidth="1"/>
    <col min="7" max="1024" width="9.140625" style="1"/>
  </cols>
  <sheetData>
    <row r="5" spans="4:7" x14ac:dyDescent="0.25">
      <c r="D5" s="30" t="s">
        <v>229</v>
      </c>
      <c r="E5" s="30" t="s">
        <v>214</v>
      </c>
      <c r="F5" s="30" t="s">
        <v>215</v>
      </c>
      <c r="G5" s="30"/>
    </row>
    <row r="6" spans="4:7" x14ac:dyDescent="0.25">
      <c r="D6" s="30">
        <v>0</v>
      </c>
      <c r="E6" s="30">
        <v>0</v>
      </c>
      <c r="F6" s="30">
        <v>0</v>
      </c>
      <c r="G6" s="30" t="s">
        <v>217</v>
      </c>
    </row>
    <row r="7" spans="4:7" x14ac:dyDescent="0.25">
      <c r="D7" s="30">
        <v>0</v>
      </c>
      <c r="E7" s="30">
        <v>0</v>
      </c>
      <c r="F7" s="30">
        <v>1</v>
      </c>
      <c r="G7" s="30" t="s">
        <v>205</v>
      </c>
    </row>
    <row r="8" spans="4:7" x14ac:dyDescent="0.25">
      <c r="D8" s="30">
        <v>0</v>
      </c>
      <c r="E8" s="30">
        <v>1</v>
      </c>
      <c r="F8" s="30">
        <v>0</v>
      </c>
      <c r="G8" s="30" t="s">
        <v>204</v>
      </c>
    </row>
    <row r="9" spans="4:7" x14ac:dyDescent="0.25">
      <c r="D9" s="30">
        <v>0</v>
      </c>
      <c r="E9" s="30">
        <v>1</v>
      </c>
      <c r="F9" s="30">
        <v>1</v>
      </c>
      <c r="G9" s="30" t="s">
        <v>218</v>
      </c>
    </row>
    <row r="10" spans="4:7" x14ac:dyDescent="0.25">
      <c r="D10" s="30">
        <v>1</v>
      </c>
      <c r="E10" s="30">
        <v>0</v>
      </c>
      <c r="F10" s="30">
        <v>0</v>
      </c>
      <c r="G10" s="30" t="s">
        <v>230</v>
      </c>
    </row>
    <row r="11" spans="4:7" x14ac:dyDescent="0.25">
      <c r="D11" s="30">
        <v>1</v>
      </c>
      <c r="E11" s="30">
        <v>0</v>
      </c>
      <c r="F11" s="30">
        <v>1</v>
      </c>
      <c r="G11" s="30" t="s">
        <v>239</v>
      </c>
    </row>
    <row r="12" spans="4:7" x14ac:dyDescent="0.25">
      <c r="D12" s="30">
        <v>1</v>
      </c>
      <c r="E12" s="30">
        <v>1</v>
      </c>
      <c r="F12" s="30">
        <v>0</v>
      </c>
      <c r="G12" s="30" t="s">
        <v>261</v>
      </c>
    </row>
    <row r="13" spans="4:7" x14ac:dyDescent="0.25">
      <c r="D13" s="30">
        <v>1</v>
      </c>
      <c r="E13" s="30">
        <v>1</v>
      </c>
      <c r="F13" s="30">
        <v>1</v>
      </c>
      <c r="G13" s="30" t="s">
        <v>262</v>
      </c>
    </row>
    <row r="17" spans="3:7" x14ac:dyDescent="0.25">
      <c r="C17" s="1" t="s">
        <v>263</v>
      </c>
      <c r="D17" s="30" t="s">
        <v>264</v>
      </c>
      <c r="E17" s="30" t="s">
        <v>265</v>
      </c>
      <c r="F17" s="30" t="s">
        <v>266</v>
      </c>
      <c r="G17" s="30"/>
    </row>
    <row r="18" spans="3:7" x14ac:dyDescent="0.25">
      <c r="D18" s="30">
        <v>0</v>
      </c>
      <c r="E18" s="30">
        <v>0</v>
      </c>
      <c r="F18" s="30">
        <v>0</v>
      </c>
      <c r="G18" s="30">
        <v>3500</v>
      </c>
    </row>
    <row r="19" spans="3:7" x14ac:dyDescent="0.25">
      <c r="D19" s="30">
        <v>0</v>
      </c>
      <c r="E19" s="30">
        <v>0</v>
      </c>
      <c r="F19" s="30">
        <v>1</v>
      </c>
      <c r="G19" s="30">
        <v>1280</v>
      </c>
    </row>
    <row r="20" spans="3:7" x14ac:dyDescent="0.25">
      <c r="D20" s="30">
        <v>0</v>
      </c>
      <c r="E20" s="30">
        <v>1</v>
      </c>
      <c r="F20" s="30">
        <v>0</v>
      </c>
      <c r="G20" s="30">
        <v>4000</v>
      </c>
    </row>
    <row r="21" spans="3:7" x14ac:dyDescent="0.25">
      <c r="D21" s="30">
        <v>0</v>
      </c>
      <c r="E21" s="30">
        <v>1</v>
      </c>
      <c r="F21" s="30">
        <v>1</v>
      </c>
      <c r="G21" s="30">
        <v>920</v>
      </c>
    </row>
    <row r="22" spans="3:7" x14ac:dyDescent="0.25">
      <c r="D22" s="30">
        <v>1</v>
      </c>
      <c r="E22" s="30">
        <v>0</v>
      </c>
      <c r="F22" s="30">
        <v>0</v>
      </c>
      <c r="G22" s="30">
        <v>2400</v>
      </c>
    </row>
    <row r="23" spans="3:7" x14ac:dyDescent="0.25">
      <c r="D23" s="30">
        <v>1</v>
      </c>
      <c r="E23" s="30">
        <v>0</v>
      </c>
      <c r="F23" s="30">
        <v>1</v>
      </c>
      <c r="G23" s="30">
        <v>1000</v>
      </c>
    </row>
    <row r="24" spans="3:7" x14ac:dyDescent="0.25">
      <c r="D24" s="30">
        <v>1</v>
      </c>
      <c r="E24" s="30">
        <v>1</v>
      </c>
      <c r="F24" s="30">
        <v>0</v>
      </c>
      <c r="G24" s="30">
        <v>435</v>
      </c>
    </row>
    <row r="25" spans="3:7" x14ac:dyDescent="0.25">
      <c r="D25" s="30">
        <v>1</v>
      </c>
      <c r="E25" s="30">
        <v>1</v>
      </c>
      <c r="F25" s="30">
        <v>1</v>
      </c>
      <c r="G25" s="30" t="s">
        <v>267</v>
      </c>
    </row>
  </sheetData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/>
  <headerFooter>
    <oddHeader>&amp;C&amp;"Times New Roman,Regular"&amp;12&amp;A</oddHeader>
    <oddFooter>&amp;C&amp;"Times New Roman,Regular"&amp;12Page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6:AMJ40"/>
  <sheetViews>
    <sheetView topLeftCell="A4" zoomScaleNormal="100" workbookViewId="0">
      <selection activeCell="D33" activeCellId="1" sqref="I106:AC109 D33"/>
    </sheetView>
  </sheetViews>
  <sheetFormatPr defaultColWidth="9.140625" defaultRowHeight="15" x14ac:dyDescent="0.25"/>
  <cols>
    <col min="1" max="2" width="9.140625" style="1"/>
    <col min="3" max="3" width="9.85546875" style="1" customWidth="1"/>
    <col min="4" max="5" width="9.140625" style="1"/>
    <col min="6" max="6" width="32" style="1" customWidth="1"/>
    <col min="7" max="1024" width="9.140625" style="1"/>
  </cols>
  <sheetData>
    <row r="6" spans="3:6" x14ac:dyDescent="0.25">
      <c r="D6" s="29"/>
      <c r="E6" s="29"/>
      <c r="F6" s="29"/>
    </row>
    <row r="7" spans="3:6" x14ac:dyDescent="0.25">
      <c r="D7" s="30" t="s">
        <v>268</v>
      </c>
      <c r="E7" s="30" t="s">
        <v>269</v>
      </c>
      <c r="F7" s="30" t="s">
        <v>270</v>
      </c>
    </row>
    <row r="8" spans="3:6" x14ac:dyDescent="0.25">
      <c r="D8" s="30">
        <v>0</v>
      </c>
      <c r="E8" s="30">
        <v>1</v>
      </c>
      <c r="F8" s="30" t="s">
        <v>217</v>
      </c>
    </row>
    <row r="9" spans="3:6" x14ac:dyDescent="0.25">
      <c r="D9" s="30">
        <v>1</v>
      </c>
      <c r="E9" s="30">
        <v>0</v>
      </c>
      <c r="F9" s="30" t="s">
        <v>205</v>
      </c>
    </row>
    <row r="13" spans="3:6" x14ac:dyDescent="0.25">
      <c r="C13" s="1" t="s">
        <v>271</v>
      </c>
      <c r="D13" s="30" t="s">
        <v>272</v>
      </c>
      <c r="E13" s="31" t="s">
        <v>273</v>
      </c>
      <c r="F13" s="30"/>
    </row>
    <row r="14" spans="3:6" x14ac:dyDescent="0.25">
      <c r="D14" s="30">
        <v>0</v>
      </c>
      <c r="E14" s="31">
        <v>1</v>
      </c>
      <c r="F14" s="30" t="s">
        <v>274</v>
      </c>
    </row>
    <row r="15" spans="3:6" x14ac:dyDescent="0.25">
      <c r="D15" s="30">
        <v>1</v>
      </c>
      <c r="E15" s="31">
        <v>0</v>
      </c>
      <c r="F15" s="30" t="s">
        <v>275</v>
      </c>
    </row>
    <row r="18" spans="3:6" x14ac:dyDescent="0.25">
      <c r="C18" s="1" t="s">
        <v>276</v>
      </c>
      <c r="D18" s="30" t="s">
        <v>277</v>
      </c>
      <c r="E18" s="31" t="s">
        <v>278</v>
      </c>
      <c r="F18" s="30"/>
    </row>
    <row r="19" spans="3:6" x14ac:dyDescent="0.25">
      <c r="D19" s="30">
        <v>0</v>
      </c>
      <c r="E19" s="31">
        <v>1</v>
      </c>
      <c r="F19" s="30" t="s">
        <v>279</v>
      </c>
    </row>
    <row r="20" spans="3:6" x14ac:dyDescent="0.25">
      <c r="D20" s="30">
        <v>1</v>
      </c>
      <c r="E20" s="31">
        <v>0</v>
      </c>
      <c r="F20" s="30" t="s">
        <v>280</v>
      </c>
    </row>
    <row r="23" spans="3:6" x14ac:dyDescent="0.25">
      <c r="C23" s="1" t="s">
        <v>281</v>
      </c>
      <c r="D23" s="30" t="s">
        <v>282</v>
      </c>
      <c r="E23" s="31" t="s">
        <v>283</v>
      </c>
      <c r="F23" s="30"/>
    </row>
    <row r="24" spans="3:6" x14ac:dyDescent="0.25">
      <c r="D24" s="30">
        <v>0</v>
      </c>
      <c r="E24" s="31">
        <v>1</v>
      </c>
      <c r="F24" s="30" t="s">
        <v>284</v>
      </c>
    </row>
    <row r="25" spans="3:6" x14ac:dyDescent="0.25">
      <c r="D25" s="30">
        <v>1</v>
      </c>
      <c r="E25" s="31">
        <v>0</v>
      </c>
      <c r="F25" s="30" t="s">
        <v>285</v>
      </c>
    </row>
    <row r="28" spans="3:6" x14ac:dyDescent="0.25">
      <c r="C28" s="1" t="s">
        <v>281</v>
      </c>
      <c r="D28" s="30" t="s">
        <v>133</v>
      </c>
      <c r="E28" s="31" t="s">
        <v>286</v>
      </c>
      <c r="F28" s="30"/>
    </row>
    <row r="29" spans="3:6" x14ac:dyDescent="0.25">
      <c r="D29" s="30">
        <v>0</v>
      </c>
      <c r="E29" s="31">
        <v>1</v>
      </c>
      <c r="F29" s="30">
        <v>145</v>
      </c>
    </row>
    <row r="30" spans="3:6" x14ac:dyDescent="0.25">
      <c r="D30" s="30">
        <v>1</v>
      </c>
      <c r="E30" s="31">
        <v>0</v>
      </c>
      <c r="F30" s="30">
        <v>220</v>
      </c>
    </row>
    <row r="33" spans="3:6" x14ac:dyDescent="0.25">
      <c r="C33" s="1" t="s">
        <v>287</v>
      </c>
      <c r="D33" s="30" t="s">
        <v>277</v>
      </c>
      <c r="E33" s="31" t="s">
        <v>278</v>
      </c>
      <c r="F33" s="30"/>
    </row>
    <row r="34" spans="3:6" x14ac:dyDescent="0.25">
      <c r="D34" s="30">
        <v>0</v>
      </c>
      <c r="E34" s="31">
        <v>1</v>
      </c>
      <c r="F34" s="30">
        <v>30</v>
      </c>
    </row>
    <row r="35" spans="3:6" x14ac:dyDescent="0.25">
      <c r="D35" s="30">
        <v>1</v>
      </c>
      <c r="E35" s="31">
        <v>0</v>
      </c>
      <c r="F35" s="30">
        <v>60</v>
      </c>
    </row>
    <row r="38" spans="3:6" x14ac:dyDescent="0.25">
      <c r="C38" s="1" t="s">
        <v>288</v>
      </c>
      <c r="D38" s="30" t="s">
        <v>289</v>
      </c>
      <c r="E38" s="31" t="s">
        <v>290</v>
      </c>
      <c r="F38" s="30"/>
    </row>
    <row r="39" spans="3:6" x14ac:dyDescent="0.25">
      <c r="D39" s="30">
        <v>0</v>
      </c>
      <c r="E39" s="31">
        <v>1</v>
      </c>
      <c r="F39" s="30">
        <v>220</v>
      </c>
    </row>
    <row r="40" spans="3:6" x14ac:dyDescent="0.25">
      <c r="D40" s="30">
        <v>1</v>
      </c>
      <c r="E40" s="31">
        <v>0</v>
      </c>
      <c r="F40" s="30">
        <v>145</v>
      </c>
    </row>
  </sheetData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/>
  <headerFooter>
    <oddHeader>&amp;C&amp;"Times New Roman,Regular"&amp;12&amp;A</oddHeader>
    <oddFooter>&amp;C&amp;"Times New Roman,Regular"&amp;12Page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AMJ32"/>
  <sheetViews>
    <sheetView topLeftCell="A6" zoomScaleNormal="100" workbookViewId="0">
      <selection activeCell="H32" activeCellId="1" sqref="I106:AC109 H32"/>
    </sheetView>
  </sheetViews>
  <sheetFormatPr defaultColWidth="9.140625" defaultRowHeight="15" x14ac:dyDescent="0.25"/>
  <cols>
    <col min="1" max="3" width="9.140625" style="1"/>
    <col min="4" max="7" width="12" style="1" customWidth="1"/>
    <col min="8" max="8" width="8.140625" style="1" customWidth="1"/>
    <col min="9" max="1024" width="9.140625" style="1"/>
  </cols>
  <sheetData>
    <row r="5" spans="3:8" x14ac:dyDescent="0.25">
      <c r="D5" s="30" t="s">
        <v>229</v>
      </c>
      <c r="E5" s="30" t="s">
        <v>214</v>
      </c>
      <c r="F5" s="30" t="s">
        <v>215</v>
      </c>
      <c r="G5" s="30" t="s">
        <v>291</v>
      </c>
      <c r="H5" s="30"/>
    </row>
    <row r="6" spans="3:8" x14ac:dyDescent="0.25">
      <c r="D6" s="30">
        <v>1</v>
      </c>
      <c r="E6" s="30">
        <v>0</v>
      </c>
      <c r="F6" s="30">
        <v>0</v>
      </c>
      <c r="G6" s="30">
        <v>0</v>
      </c>
      <c r="H6" s="30" t="s">
        <v>217</v>
      </c>
    </row>
    <row r="7" spans="3:8" x14ac:dyDescent="0.25">
      <c r="D7" s="30">
        <v>0</v>
      </c>
      <c r="E7" s="30">
        <v>1</v>
      </c>
      <c r="F7" s="30">
        <v>0</v>
      </c>
      <c r="G7" s="30">
        <v>0</v>
      </c>
      <c r="H7" s="30" t="s">
        <v>205</v>
      </c>
    </row>
    <row r="8" spans="3:8" x14ac:dyDescent="0.25">
      <c r="D8" s="30">
        <v>0</v>
      </c>
      <c r="E8" s="30">
        <v>0</v>
      </c>
      <c r="F8" s="30">
        <v>1</v>
      </c>
      <c r="G8" s="30">
        <v>0</v>
      </c>
      <c r="H8" s="30" t="s">
        <v>204</v>
      </c>
    </row>
    <row r="9" spans="3:8" x14ac:dyDescent="0.25">
      <c r="D9" s="30">
        <v>0</v>
      </c>
      <c r="E9" s="30">
        <v>0</v>
      </c>
      <c r="F9" s="30">
        <v>0</v>
      </c>
      <c r="G9" s="30">
        <v>1</v>
      </c>
      <c r="H9" s="30" t="s">
        <v>218</v>
      </c>
    </row>
    <row r="14" spans="3:8" x14ac:dyDescent="0.25">
      <c r="C14" s="1" t="s">
        <v>292</v>
      </c>
      <c r="D14" s="30" t="s">
        <v>293</v>
      </c>
      <c r="E14" s="30" t="s">
        <v>294</v>
      </c>
      <c r="F14" s="30" t="s">
        <v>295</v>
      </c>
      <c r="G14" s="30" t="s">
        <v>296</v>
      </c>
      <c r="H14" s="30"/>
    </row>
    <row r="15" spans="3:8" x14ac:dyDescent="0.25">
      <c r="D15" s="30">
        <v>1</v>
      </c>
      <c r="E15" s="30">
        <v>0</v>
      </c>
      <c r="F15" s="30">
        <v>0</v>
      </c>
      <c r="G15" s="30">
        <v>0</v>
      </c>
      <c r="H15" s="30" t="s">
        <v>297</v>
      </c>
    </row>
    <row r="16" spans="3:8" x14ac:dyDescent="0.25">
      <c r="D16" s="30">
        <v>0</v>
      </c>
      <c r="E16" s="30">
        <v>1</v>
      </c>
      <c r="F16" s="30">
        <v>0</v>
      </c>
      <c r="G16" s="30">
        <v>0</v>
      </c>
      <c r="H16" s="30">
        <v>445</v>
      </c>
    </row>
    <row r="17" spans="3:8" x14ac:dyDescent="0.25">
      <c r="D17" s="30">
        <v>0</v>
      </c>
      <c r="E17" s="30">
        <v>0</v>
      </c>
      <c r="F17" s="30">
        <v>1</v>
      </c>
      <c r="G17" s="30">
        <v>0</v>
      </c>
      <c r="H17" s="30">
        <v>1000</v>
      </c>
    </row>
    <row r="18" spans="3:8" x14ac:dyDescent="0.25">
      <c r="D18" s="30">
        <v>0</v>
      </c>
      <c r="E18" s="30">
        <v>0</v>
      </c>
      <c r="F18" s="30">
        <v>0</v>
      </c>
      <c r="G18" s="30">
        <v>1</v>
      </c>
      <c r="H18" s="30" t="s">
        <v>267</v>
      </c>
    </row>
    <row r="21" spans="3:8" x14ac:dyDescent="0.25">
      <c r="C21" s="1" t="s">
        <v>298</v>
      </c>
      <c r="D21" s="30" t="s">
        <v>232</v>
      </c>
      <c r="E21" s="30" t="s">
        <v>233</v>
      </c>
      <c r="F21" s="30" t="s">
        <v>234</v>
      </c>
      <c r="G21" s="30" t="s">
        <v>299</v>
      </c>
      <c r="H21" s="30"/>
    </row>
    <row r="22" spans="3:8" x14ac:dyDescent="0.25">
      <c r="D22" s="30">
        <v>1</v>
      </c>
      <c r="E22" s="30">
        <v>0</v>
      </c>
      <c r="F22" s="30">
        <v>0</v>
      </c>
      <c r="G22" s="30">
        <v>0</v>
      </c>
      <c r="H22" s="30" t="s">
        <v>267</v>
      </c>
    </row>
    <row r="23" spans="3:8" x14ac:dyDescent="0.25">
      <c r="D23" s="30">
        <v>0</v>
      </c>
      <c r="E23" s="30">
        <v>1</v>
      </c>
      <c r="F23" s="30">
        <v>0</v>
      </c>
      <c r="G23" s="30">
        <v>0</v>
      </c>
      <c r="H23" s="30">
        <v>1000</v>
      </c>
    </row>
    <row r="24" spans="3:8" x14ac:dyDescent="0.25">
      <c r="D24" s="30">
        <v>0</v>
      </c>
      <c r="E24" s="30">
        <v>0</v>
      </c>
      <c r="F24" s="30">
        <v>1</v>
      </c>
      <c r="G24" s="30">
        <v>0</v>
      </c>
      <c r="H24" s="30">
        <v>445</v>
      </c>
    </row>
    <row r="25" spans="3:8" x14ac:dyDescent="0.25">
      <c r="D25" s="30">
        <v>0</v>
      </c>
      <c r="E25" s="30">
        <v>0</v>
      </c>
      <c r="F25" s="30">
        <v>0</v>
      </c>
      <c r="G25" s="30">
        <v>1</v>
      </c>
      <c r="H25" s="30" t="s">
        <v>297</v>
      </c>
    </row>
    <row r="28" spans="3:8" x14ac:dyDescent="0.25">
      <c r="C28" s="1" t="s">
        <v>298</v>
      </c>
      <c r="D28" s="30" t="s">
        <v>300</v>
      </c>
      <c r="E28" s="30" t="s">
        <v>301</v>
      </c>
      <c r="F28" s="30" t="s">
        <v>302</v>
      </c>
      <c r="G28" s="30" t="s">
        <v>303</v>
      </c>
      <c r="H28" s="30"/>
    </row>
    <row r="29" spans="3:8" x14ac:dyDescent="0.25">
      <c r="D29" s="30">
        <v>1</v>
      </c>
      <c r="E29" s="30">
        <v>0</v>
      </c>
      <c r="F29" s="30">
        <v>0</v>
      </c>
      <c r="G29" s="30">
        <v>0</v>
      </c>
      <c r="H29" s="30" t="s">
        <v>304</v>
      </c>
    </row>
    <row r="30" spans="3:8" x14ac:dyDescent="0.25">
      <c r="D30" s="30">
        <v>0</v>
      </c>
      <c r="E30" s="30">
        <v>1</v>
      </c>
      <c r="F30" s="30">
        <v>0</v>
      </c>
      <c r="G30" s="30">
        <v>0</v>
      </c>
      <c r="H30" s="30">
        <v>145</v>
      </c>
    </row>
    <row r="31" spans="3:8" x14ac:dyDescent="0.25">
      <c r="D31" s="30">
        <v>0</v>
      </c>
      <c r="E31" s="30">
        <v>0</v>
      </c>
      <c r="F31" s="30">
        <v>1</v>
      </c>
      <c r="G31" s="30">
        <v>0</v>
      </c>
      <c r="H31" s="30">
        <v>220</v>
      </c>
    </row>
    <row r="32" spans="3:8" x14ac:dyDescent="0.25">
      <c r="D32" s="30">
        <v>0</v>
      </c>
      <c r="E32" s="30">
        <v>0</v>
      </c>
      <c r="F32" s="30">
        <v>0</v>
      </c>
      <c r="G32" s="30">
        <v>1</v>
      </c>
      <c r="H32" s="30">
        <v>1000</v>
      </c>
    </row>
  </sheetData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/>
  <headerFooter>
    <oddHeader>&amp;C&amp;"Times New Roman,Regular"&amp;12&amp;A</oddHeader>
    <oddFooter>&amp;C&amp;"Times New Roman,Regular"&amp;12Page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MJ157"/>
  <sheetViews>
    <sheetView topLeftCell="A124" zoomScale="115" zoomScaleNormal="115" workbookViewId="0">
      <selection activeCell="J159" activeCellId="1" sqref="I106:AC109 J159"/>
    </sheetView>
  </sheetViews>
  <sheetFormatPr defaultColWidth="8.5703125" defaultRowHeight="15" x14ac:dyDescent="0.25"/>
  <cols>
    <col min="1" max="2" width="8.5703125" style="1"/>
    <col min="3" max="3" width="13.28515625" style="1" customWidth="1"/>
    <col min="4" max="4" width="13" style="1" customWidth="1"/>
    <col min="5" max="5" width="12.85546875" style="1" customWidth="1"/>
    <col min="6" max="6" width="12.5703125" style="1" customWidth="1"/>
    <col min="7" max="7" width="8.5703125" style="1"/>
    <col min="8" max="8" width="14.28515625" style="1" customWidth="1"/>
    <col min="9" max="10" width="11.42578125" style="1" customWidth="1"/>
    <col min="11" max="1024" width="8.5703125" style="1"/>
  </cols>
  <sheetData>
    <row r="2" spans="2:34" x14ac:dyDescent="0.25">
      <c r="L2" s="1" t="s">
        <v>305</v>
      </c>
    </row>
    <row r="3" spans="2:34" x14ac:dyDescent="0.25">
      <c r="L3" s="1" t="s">
        <v>268</v>
      </c>
      <c r="M3" s="1" t="s">
        <v>269</v>
      </c>
      <c r="O3" s="1" t="s">
        <v>270</v>
      </c>
    </row>
    <row r="4" spans="2:34" x14ac:dyDescent="0.25">
      <c r="L4" s="1">
        <v>0</v>
      </c>
      <c r="M4" s="1">
        <v>1</v>
      </c>
      <c r="O4" s="1" t="s">
        <v>217</v>
      </c>
    </row>
    <row r="5" spans="2:34" x14ac:dyDescent="0.25">
      <c r="L5" s="1">
        <v>1</v>
      </c>
      <c r="M5" s="1">
        <v>0</v>
      </c>
      <c r="O5" s="1" t="s">
        <v>205</v>
      </c>
    </row>
    <row r="8" spans="2:34" x14ac:dyDescent="0.25">
      <c r="B8" s="1" t="s">
        <v>30</v>
      </c>
      <c r="C8" s="1" t="s">
        <v>289</v>
      </c>
      <c r="D8" s="1" t="s">
        <v>306</v>
      </c>
      <c r="L8" s="1" t="s">
        <v>307</v>
      </c>
      <c r="R8" s="1" t="s">
        <v>308</v>
      </c>
      <c r="X8" s="1" t="s">
        <v>309</v>
      </c>
      <c r="AD8" s="1" t="s">
        <v>310</v>
      </c>
    </row>
    <row r="9" spans="2:34" x14ac:dyDescent="0.25">
      <c r="C9" s="1" t="s">
        <v>241</v>
      </c>
      <c r="D9" s="1" t="s">
        <v>242</v>
      </c>
      <c r="E9" s="1" t="s">
        <v>243</v>
      </c>
      <c r="G9" s="1" t="s">
        <v>311</v>
      </c>
      <c r="L9" s="1" t="s">
        <v>229</v>
      </c>
      <c r="M9" s="1" t="s">
        <v>214</v>
      </c>
      <c r="N9" s="1" t="s">
        <v>215</v>
      </c>
      <c r="P9" s="1" t="s">
        <v>312</v>
      </c>
      <c r="R9" s="1" t="s">
        <v>229</v>
      </c>
      <c r="S9" s="1" t="s">
        <v>214</v>
      </c>
      <c r="T9" s="1" t="s">
        <v>215</v>
      </c>
      <c r="V9" s="1" t="s">
        <v>312</v>
      </c>
      <c r="X9" s="1" t="s">
        <v>229</v>
      </c>
      <c r="Y9" s="1" t="s">
        <v>214</v>
      </c>
      <c r="Z9" s="1" t="s">
        <v>215</v>
      </c>
      <c r="AB9" s="1" t="s">
        <v>312</v>
      </c>
      <c r="AD9" s="1" t="s">
        <v>229</v>
      </c>
      <c r="AE9" s="1" t="s">
        <v>214</v>
      </c>
      <c r="AF9" s="1" t="s">
        <v>215</v>
      </c>
      <c r="AH9" s="1" t="s">
        <v>312</v>
      </c>
    </row>
    <row r="10" spans="2:34" x14ac:dyDescent="0.25">
      <c r="C10" s="1">
        <v>0</v>
      </c>
      <c r="D10" s="1">
        <v>0</v>
      </c>
      <c r="E10" s="1">
        <v>0</v>
      </c>
      <c r="G10" s="1" t="s">
        <v>18</v>
      </c>
      <c r="L10" s="1">
        <v>0</v>
      </c>
      <c r="M10" s="1">
        <v>0</v>
      </c>
      <c r="N10" s="1">
        <v>0</v>
      </c>
      <c r="P10" s="1" t="s">
        <v>217</v>
      </c>
      <c r="R10" s="1">
        <v>0</v>
      </c>
      <c r="S10" s="1">
        <v>0</v>
      </c>
      <c r="T10" s="1">
        <v>0</v>
      </c>
      <c r="V10" s="1" t="s">
        <v>217</v>
      </c>
      <c r="X10" s="1">
        <v>0</v>
      </c>
      <c r="Y10" s="1">
        <v>0</v>
      </c>
      <c r="Z10" s="1">
        <v>0</v>
      </c>
      <c r="AB10" s="1" t="s">
        <v>217</v>
      </c>
      <c r="AD10" s="1">
        <v>0</v>
      </c>
      <c r="AE10" s="1">
        <v>0</v>
      </c>
      <c r="AF10" s="1">
        <v>0</v>
      </c>
      <c r="AH10" s="1" t="s">
        <v>217</v>
      </c>
    </row>
    <row r="11" spans="2:34" x14ac:dyDescent="0.25">
      <c r="C11" s="1">
        <v>0</v>
      </c>
      <c r="D11" s="1">
        <v>0</v>
      </c>
      <c r="E11" s="1">
        <v>1</v>
      </c>
      <c r="G11" s="1" t="s">
        <v>20</v>
      </c>
      <c r="L11" s="1">
        <v>0</v>
      </c>
      <c r="M11" s="1">
        <v>0</v>
      </c>
      <c r="N11" s="1">
        <v>1</v>
      </c>
      <c r="P11" s="1" t="s">
        <v>205</v>
      </c>
      <c r="R11" s="1">
        <v>0</v>
      </c>
      <c r="S11" s="1">
        <v>0</v>
      </c>
      <c r="T11" s="1">
        <v>1</v>
      </c>
      <c r="V11" s="1" t="s">
        <v>205</v>
      </c>
      <c r="X11" s="1">
        <v>0</v>
      </c>
      <c r="Y11" s="1">
        <v>0</v>
      </c>
      <c r="Z11" s="1">
        <v>1</v>
      </c>
      <c r="AB11" s="1" t="s">
        <v>205</v>
      </c>
      <c r="AD11" s="1">
        <v>0</v>
      </c>
      <c r="AE11" s="1">
        <v>0</v>
      </c>
      <c r="AF11" s="1">
        <v>1</v>
      </c>
      <c r="AH11" s="1" t="s">
        <v>205</v>
      </c>
    </row>
    <row r="12" spans="2:34" x14ac:dyDescent="0.25">
      <c r="C12" s="1">
        <v>0</v>
      </c>
      <c r="D12" s="1">
        <v>1</v>
      </c>
      <c r="E12" s="1">
        <v>0</v>
      </c>
      <c r="G12" s="1" t="s">
        <v>11</v>
      </c>
      <c r="L12" s="1">
        <v>0</v>
      </c>
      <c r="M12" s="1">
        <v>1</v>
      </c>
      <c r="N12" s="1">
        <v>0</v>
      </c>
      <c r="P12" s="1" t="s">
        <v>204</v>
      </c>
      <c r="R12" s="1">
        <v>0</v>
      </c>
      <c r="S12" s="1">
        <v>1</v>
      </c>
      <c r="T12" s="1">
        <v>0</v>
      </c>
      <c r="V12" s="1" t="s">
        <v>204</v>
      </c>
      <c r="X12" s="1">
        <v>0</v>
      </c>
      <c r="Y12" s="1">
        <v>1</v>
      </c>
      <c r="Z12" s="1">
        <v>0</v>
      </c>
      <c r="AB12" s="1" t="s">
        <v>204</v>
      </c>
      <c r="AD12" s="1">
        <v>0</v>
      </c>
      <c r="AE12" s="1">
        <v>1</v>
      </c>
      <c r="AF12" s="1">
        <v>0</v>
      </c>
      <c r="AH12" s="1" t="s">
        <v>204</v>
      </c>
    </row>
    <row r="13" spans="2:34" x14ac:dyDescent="0.25">
      <c r="C13" s="1">
        <v>0</v>
      </c>
      <c r="D13" s="1">
        <v>1</v>
      </c>
      <c r="E13" s="1">
        <v>1</v>
      </c>
      <c r="G13" s="1" t="s">
        <v>19</v>
      </c>
      <c r="L13" s="1">
        <v>0</v>
      </c>
      <c r="M13" s="1">
        <v>1</v>
      </c>
      <c r="N13" s="1">
        <v>1</v>
      </c>
      <c r="P13" s="1" t="s">
        <v>218</v>
      </c>
      <c r="R13" s="1">
        <v>0</v>
      </c>
      <c r="S13" s="1">
        <v>1</v>
      </c>
      <c r="T13" s="1">
        <v>1</v>
      </c>
      <c r="V13" s="1" t="s">
        <v>218</v>
      </c>
      <c r="X13" s="1">
        <v>0</v>
      </c>
      <c r="Y13" s="1">
        <v>1</v>
      </c>
      <c r="Z13" s="1">
        <v>1</v>
      </c>
      <c r="AB13" s="1" t="s">
        <v>218</v>
      </c>
      <c r="AD13" s="1">
        <v>0</v>
      </c>
      <c r="AE13" s="1">
        <v>1</v>
      </c>
      <c r="AF13" s="1">
        <v>1</v>
      </c>
      <c r="AH13" s="1" t="s">
        <v>218</v>
      </c>
    </row>
    <row r="14" spans="2:34" x14ac:dyDescent="0.25">
      <c r="C14" s="1">
        <v>1</v>
      </c>
      <c r="D14" s="1">
        <v>0</v>
      </c>
      <c r="E14" s="1">
        <v>0</v>
      </c>
      <c r="G14" s="1" t="s">
        <v>81</v>
      </c>
      <c r="L14" s="1">
        <v>1</v>
      </c>
      <c r="M14" s="1">
        <v>0</v>
      </c>
      <c r="N14" s="1">
        <v>0</v>
      </c>
      <c r="P14" s="1" t="s">
        <v>230</v>
      </c>
      <c r="X14" s="1">
        <v>1</v>
      </c>
      <c r="Y14" s="1">
        <v>0</v>
      </c>
      <c r="Z14" s="1">
        <v>0</v>
      </c>
      <c r="AB14" s="1" t="s">
        <v>230</v>
      </c>
      <c r="AD14" s="1">
        <v>1</v>
      </c>
      <c r="AE14" s="1">
        <v>0</v>
      </c>
      <c r="AF14" s="1">
        <v>0</v>
      </c>
      <c r="AH14" s="1" t="s">
        <v>230</v>
      </c>
    </row>
    <row r="15" spans="2:34" x14ac:dyDescent="0.25">
      <c r="C15" s="1">
        <v>1</v>
      </c>
      <c r="D15" s="1">
        <v>0</v>
      </c>
      <c r="E15" s="1">
        <v>1</v>
      </c>
      <c r="L15" s="1">
        <v>1</v>
      </c>
      <c r="M15" s="1">
        <v>0</v>
      </c>
      <c r="N15" s="1">
        <v>1</v>
      </c>
      <c r="P15" s="1" t="s">
        <v>313</v>
      </c>
      <c r="X15" s="1">
        <v>1</v>
      </c>
      <c r="Y15" s="1">
        <v>0</v>
      </c>
      <c r="Z15" s="1">
        <v>1</v>
      </c>
      <c r="AB15" s="1" t="s">
        <v>239</v>
      </c>
      <c r="AD15" s="1">
        <v>1</v>
      </c>
      <c r="AE15" s="1">
        <v>0</v>
      </c>
      <c r="AF15" s="1">
        <v>1</v>
      </c>
      <c r="AH15" s="1" t="s">
        <v>239</v>
      </c>
    </row>
    <row r="16" spans="2:34" x14ac:dyDescent="0.25">
      <c r="C16" s="1">
        <v>1</v>
      </c>
      <c r="D16" s="1">
        <v>1</v>
      </c>
      <c r="E16" s="1">
        <v>0</v>
      </c>
      <c r="L16" s="1">
        <v>1</v>
      </c>
      <c r="M16" s="1">
        <v>1</v>
      </c>
      <c r="N16" s="1">
        <v>0</v>
      </c>
      <c r="P16" s="1" t="s">
        <v>314</v>
      </c>
      <c r="X16" s="1">
        <v>1</v>
      </c>
      <c r="Y16" s="1">
        <v>1</v>
      </c>
      <c r="Z16" s="1">
        <v>0</v>
      </c>
      <c r="AB16" s="1" t="s">
        <v>314</v>
      </c>
      <c r="AD16" s="1">
        <v>1</v>
      </c>
      <c r="AE16" s="1">
        <v>1</v>
      </c>
      <c r="AF16" s="1">
        <v>0</v>
      </c>
      <c r="AH16" s="1" t="s">
        <v>261</v>
      </c>
    </row>
    <row r="17" spans="2:34" x14ac:dyDescent="0.25">
      <c r="C17" s="1">
        <v>1</v>
      </c>
      <c r="D17" s="1">
        <v>1</v>
      </c>
      <c r="E17" s="1">
        <v>1</v>
      </c>
      <c r="L17" s="1">
        <v>1</v>
      </c>
      <c r="M17" s="1">
        <v>1</v>
      </c>
      <c r="N17" s="1">
        <v>1</v>
      </c>
      <c r="P17" s="1" t="s">
        <v>315</v>
      </c>
      <c r="X17" s="1">
        <v>1</v>
      </c>
      <c r="Y17" s="1">
        <v>1</v>
      </c>
      <c r="Z17" s="1">
        <v>1</v>
      </c>
      <c r="AB17" s="1" t="s">
        <v>315</v>
      </c>
      <c r="AD17" s="1">
        <v>1</v>
      </c>
      <c r="AE17" s="1">
        <v>1</v>
      </c>
      <c r="AF17" s="1">
        <v>1</v>
      </c>
      <c r="AH17" s="1" t="s">
        <v>262</v>
      </c>
    </row>
    <row r="19" spans="2:34" x14ac:dyDescent="0.25">
      <c r="L19" s="1" t="s">
        <v>316</v>
      </c>
    </row>
    <row r="20" spans="2:34" x14ac:dyDescent="0.25">
      <c r="L20" s="1" t="s">
        <v>202</v>
      </c>
      <c r="N20" s="1" t="s">
        <v>203</v>
      </c>
    </row>
    <row r="21" spans="2:34" x14ac:dyDescent="0.25">
      <c r="L21" s="1">
        <v>0</v>
      </c>
      <c r="N21" s="1" t="s">
        <v>204</v>
      </c>
    </row>
    <row r="22" spans="2:34" x14ac:dyDescent="0.25">
      <c r="L22" s="1">
        <v>1</v>
      </c>
      <c r="N22" s="1" t="s">
        <v>205</v>
      </c>
    </row>
    <row r="24" spans="2:34" x14ac:dyDescent="0.25">
      <c r="B24" s="1" t="s">
        <v>77</v>
      </c>
      <c r="C24" s="1" t="s">
        <v>317</v>
      </c>
      <c r="D24" s="1" t="s">
        <v>318</v>
      </c>
    </row>
    <row r="25" spans="2:34" x14ac:dyDescent="0.25">
      <c r="C25" s="1" t="s">
        <v>214</v>
      </c>
      <c r="D25" s="1" t="s">
        <v>215</v>
      </c>
      <c r="E25" s="32" t="s">
        <v>319</v>
      </c>
    </row>
    <row r="26" spans="2:34" x14ac:dyDescent="0.25">
      <c r="B26" s="1" t="s">
        <v>320</v>
      </c>
      <c r="C26" s="1" t="s">
        <v>234</v>
      </c>
      <c r="D26" s="1" t="s">
        <v>233</v>
      </c>
    </row>
    <row r="27" spans="2:34" x14ac:dyDescent="0.25">
      <c r="B27" s="1" t="s">
        <v>321</v>
      </c>
      <c r="C27" s="1" t="s">
        <v>214</v>
      </c>
      <c r="D27" s="1" t="s">
        <v>215</v>
      </c>
      <c r="F27" s="1" t="s">
        <v>312</v>
      </c>
      <c r="G27" s="1" t="s">
        <v>322</v>
      </c>
      <c r="H27" s="1" t="s">
        <v>311</v>
      </c>
    </row>
    <row r="28" spans="2:34" x14ac:dyDescent="0.25">
      <c r="C28" s="1">
        <v>0</v>
      </c>
      <c r="D28" s="1">
        <v>0</v>
      </c>
      <c r="F28" s="1" t="s">
        <v>217</v>
      </c>
      <c r="G28" s="1" t="s">
        <v>323</v>
      </c>
      <c r="H28" s="1" t="s">
        <v>20</v>
      </c>
    </row>
    <row r="29" spans="2:34" x14ac:dyDescent="0.25">
      <c r="C29" s="1">
        <v>0</v>
      </c>
      <c r="D29" s="1">
        <v>1</v>
      </c>
      <c r="F29" s="1" t="s">
        <v>205</v>
      </c>
      <c r="G29" s="1" t="s">
        <v>324</v>
      </c>
      <c r="H29" s="1" t="s">
        <v>18</v>
      </c>
    </row>
    <row r="30" spans="2:34" x14ac:dyDescent="0.25">
      <c r="C30" s="1">
        <v>1</v>
      </c>
      <c r="D30" s="1">
        <v>0</v>
      </c>
      <c r="F30" s="1" t="s">
        <v>204</v>
      </c>
      <c r="G30" s="1" t="s">
        <v>325</v>
      </c>
      <c r="H30" s="1" t="s">
        <v>19</v>
      </c>
    </row>
    <row r="31" spans="2:34" x14ac:dyDescent="0.25">
      <c r="C31" s="1">
        <v>1</v>
      </c>
      <c r="D31" s="1">
        <v>1</v>
      </c>
      <c r="F31" s="1" t="s">
        <v>218</v>
      </c>
      <c r="G31" s="1" t="s">
        <v>326</v>
      </c>
      <c r="H31" s="1" t="s">
        <v>11</v>
      </c>
    </row>
    <row r="33" spans="2:17" x14ac:dyDescent="0.25">
      <c r="B33" s="1" t="s">
        <v>57</v>
      </c>
      <c r="C33" s="1" t="s">
        <v>327</v>
      </c>
      <c r="D33" s="1" t="s">
        <v>328</v>
      </c>
      <c r="E33" s="32" t="s">
        <v>329</v>
      </c>
      <c r="L33" s="1" t="s">
        <v>330</v>
      </c>
    </row>
    <row r="34" spans="2:17" x14ac:dyDescent="0.25">
      <c r="C34" s="1" t="s">
        <v>293</v>
      </c>
      <c r="D34" s="1" t="s">
        <v>294</v>
      </c>
      <c r="E34" s="1" t="s">
        <v>295</v>
      </c>
      <c r="F34" s="1" t="s">
        <v>296</v>
      </c>
      <c r="L34" s="1" t="s">
        <v>229</v>
      </c>
      <c r="M34" s="1" t="s">
        <v>214</v>
      </c>
      <c r="N34" s="1" t="s">
        <v>215</v>
      </c>
      <c r="O34" s="1" t="s">
        <v>291</v>
      </c>
      <c r="Q34" s="1" t="s">
        <v>312</v>
      </c>
    </row>
    <row r="35" spans="2:17" x14ac:dyDescent="0.25">
      <c r="C35" s="1" t="s">
        <v>229</v>
      </c>
      <c r="D35" s="1" t="s">
        <v>214</v>
      </c>
      <c r="E35" s="1" t="s">
        <v>215</v>
      </c>
      <c r="F35" s="1" t="s">
        <v>291</v>
      </c>
      <c r="H35" s="1" t="s">
        <v>216</v>
      </c>
      <c r="I35" s="1" t="s">
        <v>331</v>
      </c>
      <c r="J35" s="1" t="s">
        <v>332</v>
      </c>
      <c r="L35" s="1">
        <v>1</v>
      </c>
      <c r="M35" s="1">
        <v>0</v>
      </c>
      <c r="N35" s="1">
        <v>0</v>
      </c>
      <c r="O35" s="1">
        <v>0</v>
      </c>
      <c r="Q35" s="1" t="s">
        <v>217</v>
      </c>
    </row>
    <row r="36" spans="2:17" x14ac:dyDescent="0.25">
      <c r="C36" s="1">
        <v>1</v>
      </c>
      <c r="D36" s="1">
        <v>0</v>
      </c>
      <c r="E36" s="1">
        <v>0</v>
      </c>
      <c r="F36" s="1">
        <v>0</v>
      </c>
      <c r="H36" s="1" t="s">
        <v>217</v>
      </c>
      <c r="I36" s="1" t="s">
        <v>333</v>
      </c>
      <c r="J36" s="1" t="s">
        <v>12</v>
      </c>
      <c r="L36" s="1">
        <v>0</v>
      </c>
      <c r="M36" s="1">
        <v>1</v>
      </c>
      <c r="N36" s="1">
        <v>0</v>
      </c>
      <c r="O36" s="1">
        <v>0</v>
      </c>
      <c r="Q36" s="1" t="s">
        <v>205</v>
      </c>
    </row>
    <row r="37" spans="2:17" x14ac:dyDescent="0.25">
      <c r="C37" s="1">
        <v>0</v>
      </c>
      <c r="D37" s="1">
        <v>1</v>
      </c>
      <c r="E37" s="1">
        <v>0</v>
      </c>
      <c r="F37" s="1">
        <v>0</v>
      </c>
      <c r="H37" s="1" t="s">
        <v>205</v>
      </c>
      <c r="I37" s="1" t="s">
        <v>334</v>
      </c>
      <c r="J37" s="1" t="s">
        <v>14</v>
      </c>
      <c r="L37" s="1">
        <v>0</v>
      </c>
      <c r="M37" s="1">
        <v>0</v>
      </c>
      <c r="N37" s="1">
        <v>1</v>
      </c>
      <c r="O37" s="1">
        <v>0</v>
      </c>
      <c r="Q37" s="1" t="s">
        <v>204</v>
      </c>
    </row>
    <row r="38" spans="2:17" x14ac:dyDescent="0.25">
      <c r="C38" s="1">
        <v>0</v>
      </c>
      <c r="D38" s="1">
        <v>0</v>
      </c>
      <c r="E38" s="1">
        <v>1</v>
      </c>
      <c r="F38" s="1">
        <v>0</v>
      </c>
      <c r="H38" s="1" t="s">
        <v>204</v>
      </c>
      <c r="I38" s="1" t="s">
        <v>326</v>
      </c>
      <c r="J38" s="1" t="s">
        <v>10</v>
      </c>
      <c r="L38" s="1">
        <v>0</v>
      </c>
      <c r="M38" s="1">
        <v>0</v>
      </c>
      <c r="N38" s="1">
        <v>0</v>
      </c>
      <c r="O38" s="1">
        <v>1</v>
      </c>
      <c r="Q38" s="1" t="s">
        <v>218</v>
      </c>
    </row>
    <row r="39" spans="2:17" x14ac:dyDescent="0.25">
      <c r="C39" s="1">
        <v>0</v>
      </c>
      <c r="D39" s="1">
        <v>0</v>
      </c>
      <c r="E39" s="1">
        <v>0</v>
      </c>
      <c r="F39" s="1">
        <v>1</v>
      </c>
      <c r="H39" s="1" t="s">
        <v>218</v>
      </c>
      <c r="I39" s="1" t="s">
        <v>335</v>
      </c>
      <c r="J39" s="1" t="s">
        <v>16</v>
      </c>
    </row>
    <row r="41" spans="2:17" x14ac:dyDescent="0.25">
      <c r="L41" s="1" t="s">
        <v>336</v>
      </c>
    </row>
    <row r="42" spans="2:17" x14ac:dyDescent="0.25">
      <c r="L42" s="1" t="s">
        <v>202</v>
      </c>
      <c r="N42" s="1" t="s">
        <v>270</v>
      </c>
    </row>
    <row r="43" spans="2:17" x14ac:dyDescent="0.25">
      <c r="L43" s="1">
        <v>0</v>
      </c>
      <c r="N43" s="1" t="s">
        <v>205</v>
      </c>
    </row>
    <row r="44" spans="2:17" x14ac:dyDescent="0.25">
      <c r="L44" s="1">
        <v>1</v>
      </c>
      <c r="N44" s="1" t="s">
        <v>217</v>
      </c>
    </row>
    <row r="46" spans="2:17" x14ac:dyDescent="0.25">
      <c r="B46" s="1" t="s">
        <v>57</v>
      </c>
      <c r="C46" s="1" t="s">
        <v>317</v>
      </c>
      <c r="D46" s="1" t="s">
        <v>337</v>
      </c>
      <c r="E46" s="32" t="s">
        <v>338</v>
      </c>
    </row>
    <row r="47" spans="2:17" x14ac:dyDescent="0.25">
      <c r="C47" s="1" t="s">
        <v>232</v>
      </c>
      <c r="D47" s="1" t="s">
        <v>233</v>
      </c>
      <c r="E47" s="1" t="s">
        <v>234</v>
      </c>
      <c r="F47" s="1" t="s">
        <v>299</v>
      </c>
    </row>
    <row r="48" spans="2:17" x14ac:dyDescent="0.25">
      <c r="C48" s="1" t="s">
        <v>229</v>
      </c>
      <c r="D48" s="1" t="s">
        <v>214</v>
      </c>
      <c r="E48" s="1" t="s">
        <v>215</v>
      </c>
      <c r="F48" s="1" t="s">
        <v>291</v>
      </c>
      <c r="H48" s="1" t="s">
        <v>216</v>
      </c>
      <c r="I48" s="1" t="s">
        <v>331</v>
      </c>
      <c r="J48" s="1" t="s">
        <v>332</v>
      </c>
    </row>
    <row r="49" spans="2:10" x14ac:dyDescent="0.25">
      <c r="C49" s="1">
        <v>1</v>
      </c>
      <c r="D49" s="1">
        <v>0</v>
      </c>
      <c r="E49" s="1">
        <v>0</v>
      </c>
      <c r="F49" s="1">
        <v>0</v>
      </c>
      <c r="H49" s="1" t="s">
        <v>217</v>
      </c>
      <c r="I49" s="1" t="s">
        <v>335</v>
      </c>
      <c r="J49" s="1" t="s">
        <v>16</v>
      </c>
    </row>
    <row r="50" spans="2:10" x14ac:dyDescent="0.25">
      <c r="C50" s="1">
        <v>0</v>
      </c>
      <c r="D50" s="1">
        <v>1</v>
      </c>
      <c r="E50" s="1">
        <v>0</v>
      </c>
      <c r="F50" s="1">
        <v>0</v>
      </c>
      <c r="H50" s="1" t="s">
        <v>205</v>
      </c>
      <c r="I50" s="1" t="s">
        <v>326</v>
      </c>
      <c r="J50" s="1" t="s">
        <v>10</v>
      </c>
    </row>
    <row r="51" spans="2:10" x14ac:dyDescent="0.25">
      <c r="C51" s="1">
        <v>0</v>
      </c>
      <c r="D51" s="1">
        <v>0</v>
      </c>
      <c r="E51" s="1">
        <v>1</v>
      </c>
      <c r="F51" s="1">
        <v>0</v>
      </c>
      <c r="H51" s="1" t="s">
        <v>204</v>
      </c>
      <c r="I51" s="1" t="s">
        <v>334</v>
      </c>
      <c r="J51" s="1" t="s">
        <v>14</v>
      </c>
    </row>
    <row r="52" spans="2:10" x14ac:dyDescent="0.25">
      <c r="C52" s="1">
        <v>0</v>
      </c>
      <c r="D52" s="1">
        <v>0</v>
      </c>
      <c r="E52" s="1">
        <v>0</v>
      </c>
      <c r="F52" s="1">
        <v>1</v>
      </c>
      <c r="H52" s="1" t="s">
        <v>218</v>
      </c>
      <c r="I52" s="1" t="s">
        <v>333</v>
      </c>
      <c r="J52" s="1" t="s">
        <v>12</v>
      </c>
    </row>
    <row r="54" spans="2:10" x14ac:dyDescent="0.25">
      <c r="B54" s="1" t="s">
        <v>81</v>
      </c>
      <c r="C54" s="1" t="s">
        <v>339</v>
      </c>
      <c r="D54" s="1" t="s">
        <v>340</v>
      </c>
    </row>
    <row r="55" spans="2:10" x14ac:dyDescent="0.25">
      <c r="C55" s="1" t="s">
        <v>256</v>
      </c>
      <c r="D55" s="1" t="s">
        <v>220</v>
      </c>
      <c r="E55" s="1" t="s">
        <v>221</v>
      </c>
    </row>
    <row r="56" spans="2:10" x14ac:dyDescent="0.25">
      <c r="C56" s="1" t="s">
        <v>229</v>
      </c>
      <c r="D56" s="1" t="s">
        <v>214</v>
      </c>
      <c r="E56" s="1" t="s">
        <v>215</v>
      </c>
      <c r="G56" s="1" t="s">
        <v>216</v>
      </c>
      <c r="I56" s="1" t="s">
        <v>341</v>
      </c>
    </row>
    <row r="57" spans="2:10" x14ac:dyDescent="0.25">
      <c r="C57" s="1">
        <v>0</v>
      </c>
      <c r="D57" s="1">
        <v>0</v>
      </c>
      <c r="E57" s="1">
        <v>0</v>
      </c>
      <c r="G57" s="1" t="s">
        <v>217</v>
      </c>
      <c r="H57" s="1" t="s">
        <v>342</v>
      </c>
      <c r="I57" s="1">
        <v>7</v>
      </c>
    </row>
    <row r="58" spans="2:10" x14ac:dyDescent="0.25">
      <c r="C58" s="1">
        <v>0</v>
      </c>
      <c r="D58" s="1">
        <v>0</v>
      </c>
      <c r="E58" s="1">
        <v>1</v>
      </c>
      <c r="G58" s="1" t="s">
        <v>205</v>
      </c>
      <c r="H58" s="1" t="s">
        <v>343</v>
      </c>
      <c r="I58" s="1">
        <v>3</v>
      </c>
    </row>
    <row r="59" spans="2:10" x14ac:dyDescent="0.25">
      <c r="C59" s="1">
        <v>0</v>
      </c>
      <c r="D59" s="1">
        <v>1</v>
      </c>
      <c r="E59" s="1">
        <v>0</v>
      </c>
      <c r="G59" s="1" t="s">
        <v>204</v>
      </c>
      <c r="H59" s="1" t="s">
        <v>50</v>
      </c>
    </row>
    <row r="60" spans="2:10" x14ac:dyDescent="0.25">
      <c r="C60" s="1">
        <v>0</v>
      </c>
      <c r="D60" s="1">
        <v>1</v>
      </c>
      <c r="E60" s="1">
        <v>1</v>
      </c>
      <c r="G60" s="1" t="s">
        <v>218</v>
      </c>
      <c r="H60" s="1" t="s">
        <v>344</v>
      </c>
      <c r="I60" s="1">
        <v>2</v>
      </c>
    </row>
    <row r="61" spans="2:10" x14ac:dyDescent="0.25">
      <c r="C61" s="1">
        <v>1</v>
      </c>
      <c r="D61" s="1">
        <v>0</v>
      </c>
      <c r="E61" s="1">
        <v>0</v>
      </c>
      <c r="G61" s="1" t="s">
        <v>230</v>
      </c>
      <c r="H61" s="1" t="s">
        <v>345</v>
      </c>
      <c r="I61" s="1">
        <v>38</v>
      </c>
    </row>
    <row r="62" spans="2:10" x14ac:dyDescent="0.25">
      <c r="C62" s="1">
        <v>1</v>
      </c>
      <c r="D62" s="1">
        <v>0</v>
      </c>
      <c r="E62" s="1">
        <v>1</v>
      </c>
      <c r="G62" s="1" t="s">
        <v>239</v>
      </c>
      <c r="H62" s="1" t="s">
        <v>346</v>
      </c>
      <c r="I62" s="1">
        <v>1</v>
      </c>
    </row>
    <row r="65" spans="2:10" x14ac:dyDescent="0.25">
      <c r="B65" s="1" t="s">
        <v>81</v>
      </c>
      <c r="C65" s="1" t="s">
        <v>347</v>
      </c>
      <c r="D65" s="1" t="s">
        <v>308</v>
      </c>
    </row>
    <row r="66" spans="2:10" x14ac:dyDescent="0.25">
      <c r="D66" s="1" t="s">
        <v>348</v>
      </c>
      <c r="E66" s="1" t="s">
        <v>349</v>
      </c>
    </row>
    <row r="67" spans="2:10" x14ac:dyDescent="0.25">
      <c r="D67" s="1" t="s">
        <v>214</v>
      </c>
      <c r="E67" s="1" t="s">
        <v>215</v>
      </c>
      <c r="G67" s="1" t="s">
        <v>216</v>
      </c>
    </row>
    <row r="68" spans="2:10" x14ac:dyDescent="0.25">
      <c r="D68" s="1">
        <v>0</v>
      </c>
      <c r="E68" s="1">
        <v>0</v>
      </c>
      <c r="G68" s="1" t="s">
        <v>217</v>
      </c>
      <c r="H68" s="1" t="s">
        <v>344</v>
      </c>
      <c r="I68" s="1">
        <v>2</v>
      </c>
    </row>
    <row r="69" spans="2:10" x14ac:dyDescent="0.25">
      <c r="D69" s="1">
        <v>0</v>
      </c>
      <c r="E69" s="1">
        <v>1</v>
      </c>
      <c r="G69" s="1" t="s">
        <v>205</v>
      </c>
      <c r="H69" s="1" t="s">
        <v>343</v>
      </c>
      <c r="I69" s="1">
        <v>3</v>
      </c>
    </row>
    <row r="70" spans="2:10" x14ac:dyDescent="0.25">
      <c r="D70" s="1">
        <v>1</v>
      </c>
      <c r="E70" s="1">
        <v>0</v>
      </c>
      <c r="G70" s="1" t="s">
        <v>204</v>
      </c>
      <c r="H70" s="1" t="s">
        <v>346</v>
      </c>
      <c r="I70" s="1">
        <v>1</v>
      </c>
    </row>
    <row r="71" spans="2:10" x14ac:dyDescent="0.25">
      <c r="D71" s="1">
        <v>1</v>
      </c>
      <c r="E71" s="1">
        <v>1</v>
      </c>
      <c r="G71" s="1" t="s">
        <v>218</v>
      </c>
      <c r="H71" s="1" t="s">
        <v>50</v>
      </c>
    </row>
    <row r="74" spans="2:10" x14ac:dyDescent="0.25">
      <c r="B74" s="1" t="s">
        <v>81</v>
      </c>
      <c r="C74" s="1" t="s">
        <v>135</v>
      </c>
      <c r="D74" s="1" t="s">
        <v>309</v>
      </c>
    </row>
    <row r="75" spans="2:10" x14ac:dyDescent="0.25">
      <c r="D75" s="1" t="s">
        <v>93</v>
      </c>
      <c r="E75" s="1" t="s">
        <v>92</v>
      </c>
      <c r="F75" s="1" t="s">
        <v>90</v>
      </c>
    </row>
    <row r="76" spans="2:10" x14ac:dyDescent="0.25">
      <c r="D76" s="1" t="s">
        <v>229</v>
      </c>
      <c r="E76" s="1" t="s">
        <v>214</v>
      </c>
      <c r="F76" s="1" t="s">
        <v>215</v>
      </c>
      <c r="H76" s="1" t="s">
        <v>312</v>
      </c>
    </row>
    <row r="77" spans="2:10" x14ac:dyDescent="0.25">
      <c r="D77" s="1">
        <v>0</v>
      </c>
      <c r="E77" s="1">
        <v>0</v>
      </c>
      <c r="F77" s="1">
        <v>0</v>
      </c>
      <c r="H77" s="1" t="s">
        <v>217</v>
      </c>
      <c r="I77" s="1">
        <v>3</v>
      </c>
      <c r="J77" s="1" t="s">
        <v>350</v>
      </c>
    </row>
    <row r="78" spans="2:10" x14ac:dyDescent="0.25">
      <c r="D78" s="1">
        <v>0</v>
      </c>
      <c r="E78" s="1">
        <v>0</v>
      </c>
      <c r="F78" s="1">
        <v>1</v>
      </c>
      <c r="H78" s="1" t="s">
        <v>205</v>
      </c>
      <c r="I78" s="1">
        <v>38</v>
      </c>
      <c r="J78" s="1" t="s">
        <v>326</v>
      </c>
    </row>
    <row r="79" spans="2:10" x14ac:dyDescent="0.25">
      <c r="D79" s="1">
        <v>0</v>
      </c>
      <c r="E79" s="1">
        <v>1</v>
      </c>
      <c r="F79" s="1">
        <v>0</v>
      </c>
      <c r="H79" s="1" t="s">
        <v>204</v>
      </c>
      <c r="I79" s="1">
        <v>2</v>
      </c>
      <c r="J79" s="1" t="s">
        <v>351</v>
      </c>
    </row>
    <row r="80" spans="2:10" x14ac:dyDescent="0.25">
      <c r="D80" s="1">
        <v>0</v>
      </c>
      <c r="E80" s="1">
        <v>1</v>
      </c>
      <c r="F80" s="1">
        <v>1</v>
      </c>
      <c r="H80" s="1" t="s">
        <v>218</v>
      </c>
      <c r="I80" s="1">
        <v>7</v>
      </c>
      <c r="J80" s="1" t="s">
        <v>352</v>
      </c>
    </row>
    <row r="81" spans="2:10" x14ac:dyDescent="0.25">
      <c r="D81" s="1">
        <v>1</v>
      </c>
      <c r="E81" s="1">
        <v>0</v>
      </c>
      <c r="F81" s="1">
        <v>0</v>
      </c>
      <c r="H81" s="1" t="s">
        <v>230</v>
      </c>
      <c r="I81" s="1">
        <v>1</v>
      </c>
      <c r="J81" s="1" t="s">
        <v>353</v>
      </c>
    </row>
    <row r="82" spans="2:10" x14ac:dyDescent="0.25">
      <c r="D82" s="1">
        <v>1</v>
      </c>
      <c r="E82" s="1">
        <v>0</v>
      </c>
      <c r="F82" s="1">
        <v>1</v>
      </c>
      <c r="H82" s="1" t="s">
        <v>239</v>
      </c>
      <c r="I82" s="1" t="s">
        <v>50</v>
      </c>
    </row>
    <row r="83" spans="2:10" x14ac:dyDescent="0.25">
      <c r="D83" s="1">
        <v>1</v>
      </c>
      <c r="E83" s="1">
        <v>1</v>
      </c>
      <c r="F83" s="1">
        <v>0</v>
      </c>
      <c r="H83" s="1" t="s">
        <v>314</v>
      </c>
    </row>
    <row r="84" spans="2:10" x14ac:dyDescent="0.25">
      <c r="D84" s="1">
        <v>1</v>
      </c>
      <c r="E84" s="1">
        <v>1</v>
      </c>
      <c r="F84" s="1">
        <v>1</v>
      </c>
      <c r="H84" s="1" t="s">
        <v>315</v>
      </c>
    </row>
    <row r="87" spans="2:10" x14ac:dyDescent="0.25">
      <c r="B87" s="1" t="s">
        <v>81</v>
      </c>
      <c r="C87" s="1" t="s">
        <v>354</v>
      </c>
      <c r="D87" s="1" t="s">
        <v>308</v>
      </c>
    </row>
    <row r="88" spans="2:10" x14ac:dyDescent="0.25">
      <c r="D88" s="1" t="s">
        <v>98</v>
      </c>
      <c r="E88" s="1" t="s">
        <v>97</v>
      </c>
      <c r="F88" s="1" t="s">
        <v>95</v>
      </c>
    </row>
    <row r="89" spans="2:10" x14ac:dyDescent="0.25">
      <c r="D89" s="1" t="s">
        <v>229</v>
      </c>
      <c r="E89" s="1" t="s">
        <v>214</v>
      </c>
      <c r="F89" s="1" t="s">
        <v>215</v>
      </c>
      <c r="H89" s="1" t="s">
        <v>312</v>
      </c>
    </row>
    <row r="90" spans="2:10" x14ac:dyDescent="0.25">
      <c r="D90" s="1">
        <v>0</v>
      </c>
      <c r="E90" s="1">
        <v>0</v>
      </c>
      <c r="F90" s="1">
        <v>0</v>
      </c>
      <c r="H90" s="1" t="s">
        <v>217</v>
      </c>
      <c r="I90" s="1">
        <v>38</v>
      </c>
      <c r="J90" s="1" t="s">
        <v>326</v>
      </c>
    </row>
    <row r="91" spans="2:10" x14ac:dyDescent="0.25">
      <c r="D91" s="1">
        <v>0</v>
      </c>
      <c r="E91" s="1">
        <v>0</v>
      </c>
      <c r="F91" s="1">
        <v>1</v>
      </c>
      <c r="H91" s="1" t="s">
        <v>205</v>
      </c>
      <c r="I91" s="1" t="s">
        <v>50</v>
      </c>
    </row>
    <row r="92" spans="2:10" x14ac:dyDescent="0.25">
      <c r="D92" s="1">
        <v>0</v>
      </c>
      <c r="E92" s="1">
        <v>1</v>
      </c>
      <c r="F92" s="1">
        <v>0</v>
      </c>
      <c r="H92" s="1" t="s">
        <v>204</v>
      </c>
      <c r="I92" s="1">
        <v>7</v>
      </c>
      <c r="J92" s="1" t="s">
        <v>352</v>
      </c>
    </row>
    <row r="93" spans="2:10" x14ac:dyDescent="0.25">
      <c r="D93" s="1">
        <v>0</v>
      </c>
      <c r="E93" s="1">
        <v>1</v>
      </c>
      <c r="F93" s="1">
        <v>1</v>
      </c>
      <c r="H93" s="1" t="s">
        <v>218</v>
      </c>
      <c r="I93" s="1" t="s">
        <v>50</v>
      </c>
    </row>
    <row r="96" spans="2:10" x14ac:dyDescent="0.25">
      <c r="B96" s="1" t="s">
        <v>81</v>
      </c>
      <c r="C96" s="1" t="s">
        <v>355</v>
      </c>
      <c r="D96" s="1" t="s">
        <v>309</v>
      </c>
    </row>
    <row r="97" spans="2:10" x14ac:dyDescent="0.25">
      <c r="D97" s="1" t="s">
        <v>98</v>
      </c>
      <c r="E97" s="1" t="s">
        <v>97</v>
      </c>
      <c r="F97" s="1" t="s">
        <v>95</v>
      </c>
    </row>
    <row r="98" spans="2:10" x14ac:dyDescent="0.25">
      <c r="D98" s="1" t="s">
        <v>229</v>
      </c>
      <c r="E98" s="1" t="s">
        <v>214</v>
      </c>
      <c r="F98" s="1" t="s">
        <v>215</v>
      </c>
      <c r="H98" s="1" t="s">
        <v>312</v>
      </c>
    </row>
    <row r="99" spans="2:10" x14ac:dyDescent="0.25">
      <c r="D99" s="1">
        <v>0</v>
      </c>
      <c r="E99" s="1">
        <v>0</v>
      </c>
      <c r="F99" s="1">
        <v>0</v>
      </c>
      <c r="H99" s="1" t="s">
        <v>217</v>
      </c>
      <c r="I99" s="1" t="s">
        <v>50</v>
      </c>
    </row>
    <row r="100" spans="2:10" x14ac:dyDescent="0.25">
      <c r="D100" s="1">
        <v>0</v>
      </c>
      <c r="E100" s="1">
        <v>0</v>
      </c>
      <c r="F100" s="1">
        <v>1</v>
      </c>
      <c r="H100" s="1" t="s">
        <v>205</v>
      </c>
      <c r="I100" s="1">
        <v>3</v>
      </c>
      <c r="J100" s="1" t="s">
        <v>350</v>
      </c>
    </row>
    <row r="101" spans="2:10" x14ac:dyDescent="0.25">
      <c r="D101" s="1">
        <v>0</v>
      </c>
      <c r="E101" s="1">
        <v>1</v>
      </c>
      <c r="F101" s="1">
        <v>0</v>
      </c>
      <c r="H101" s="1" t="s">
        <v>204</v>
      </c>
      <c r="I101" s="1" t="s">
        <v>50</v>
      </c>
    </row>
    <row r="102" spans="2:10" x14ac:dyDescent="0.25">
      <c r="D102" s="1">
        <v>0</v>
      </c>
      <c r="E102" s="1">
        <v>1</v>
      </c>
      <c r="F102" s="1">
        <v>1</v>
      </c>
      <c r="H102" s="1" t="s">
        <v>218</v>
      </c>
      <c r="I102" s="1">
        <v>2</v>
      </c>
      <c r="J102" s="1" t="s">
        <v>351</v>
      </c>
    </row>
    <row r="103" spans="2:10" x14ac:dyDescent="0.25">
      <c r="D103" s="1">
        <v>1</v>
      </c>
      <c r="E103" s="1">
        <v>0</v>
      </c>
      <c r="F103" s="1">
        <v>0</v>
      </c>
      <c r="H103" s="1" t="s">
        <v>230</v>
      </c>
      <c r="I103" s="1" t="s">
        <v>50</v>
      </c>
    </row>
    <row r="104" spans="2:10" x14ac:dyDescent="0.25">
      <c r="D104" s="1">
        <v>1</v>
      </c>
      <c r="E104" s="1">
        <v>0</v>
      </c>
      <c r="F104" s="1">
        <v>1</v>
      </c>
      <c r="H104" s="1" t="s">
        <v>239</v>
      </c>
      <c r="I104" s="1">
        <v>1</v>
      </c>
      <c r="J104" s="1" t="s">
        <v>353</v>
      </c>
    </row>
    <row r="105" spans="2:10" x14ac:dyDescent="0.25">
      <c r="D105" s="1">
        <v>1</v>
      </c>
      <c r="E105" s="1">
        <v>1</v>
      </c>
      <c r="F105" s="1">
        <v>0</v>
      </c>
      <c r="H105" s="1" t="s">
        <v>314</v>
      </c>
    </row>
    <row r="106" spans="2:10" x14ac:dyDescent="0.25">
      <c r="D106" s="1">
        <v>1</v>
      </c>
      <c r="E106" s="1">
        <v>1</v>
      </c>
      <c r="F106" s="1">
        <v>1</v>
      </c>
      <c r="H106" s="1" t="s">
        <v>315</v>
      </c>
    </row>
    <row r="109" spans="2:10" x14ac:dyDescent="0.25">
      <c r="B109" s="1" t="s">
        <v>81</v>
      </c>
      <c r="C109" s="1" t="s">
        <v>356</v>
      </c>
      <c r="D109" s="1" t="s">
        <v>309</v>
      </c>
    </row>
    <row r="110" spans="2:10" x14ac:dyDescent="0.25">
      <c r="C110" s="1" t="s">
        <v>258</v>
      </c>
      <c r="D110" s="1" t="s">
        <v>259</v>
      </c>
      <c r="E110" s="1" t="s">
        <v>260</v>
      </c>
    </row>
    <row r="111" spans="2:10" x14ac:dyDescent="0.25">
      <c r="C111" s="1" t="s">
        <v>229</v>
      </c>
      <c r="D111" s="1" t="s">
        <v>214</v>
      </c>
      <c r="E111" s="1" t="s">
        <v>215</v>
      </c>
      <c r="G111" s="1" t="s">
        <v>312</v>
      </c>
    </row>
    <row r="112" spans="2:10" x14ac:dyDescent="0.25">
      <c r="C112" s="1">
        <v>0</v>
      </c>
      <c r="D112" s="1">
        <v>0</v>
      </c>
      <c r="E112" s="1">
        <v>0</v>
      </c>
      <c r="G112" s="1" t="s">
        <v>217</v>
      </c>
      <c r="H112" s="1" t="s">
        <v>342</v>
      </c>
      <c r="I112" s="1">
        <v>7</v>
      </c>
    </row>
    <row r="113" spans="2:9" x14ac:dyDescent="0.25">
      <c r="C113" s="1">
        <v>0</v>
      </c>
      <c r="D113" s="1">
        <v>0</v>
      </c>
      <c r="E113" s="1">
        <v>1</v>
      </c>
      <c r="G113" s="1" t="s">
        <v>205</v>
      </c>
      <c r="H113" s="1" t="s">
        <v>343</v>
      </c>
      <c r="I113" s="1">
        <v>3</v>
      </c>
    </row>
    <row r="114" spans="2:9" x14ac:dyDescent="0.25">
      <c r="C114" s="1">
        <v>0</v>
      </c>
      <c r="D114" s="1">
        <v>1</v>
      </c>
      <c r="E114" s="1">
        <v>0</v>
      </c>
      <c r="G114" s="1" t="s">
        <v>204</v>
      </c>
      <c r="H114" s="1" t="s">
        <v>50</v>
      </c>
    </row>
    <row r="115" spans="2:9" x14ac:dyDescent="0.25">
      <c r="C115" s="1">
        <v>0</v>
      </c>
      <c r="D115" s="1">
        <v>1</v>
      </c>
      <c r="E115" s="1">
        <v>1</v>
      </c>
      <c r="G115" s="1" t="s">
        <v>218</v>
      </c>
      <c r="H115" s="1" t="s">
        <v>344</v>
      </c>
      <c r="I115" s="1">
        <v>2</v>
      </c>
    </row>
    <row r="116" spans="2:9" x14ac:dyDescent="0.25">
      <c r="C116" s="1">
        <v>1</v>
      </c>
      <c r="D116" s="1">
        <v>0</v>
      </c>
      <c r="E116" s="1">
        <v>0</v>
      </c>
      <c r="G116" s="1" t="s">
        <v>230</v>
      </c>
      <c r="H116" s="1" t="s">
        <v>345</v>
      </c>
      <c r="I116" s="1">
        <v>38</v>
      </c>
    </row>
    <row r="117" spans="2:9" x14ac:dyDescent="0.25">
      <c r="C117" s="1">
        <v>1</v>
      </c>
      <c r="D117" s="1">
        <v>0</v>
      </c>
      <c r="E117" s="1">
        <v>1</v>
      </c>
      <c r="G117" s="1" t="s">
        <v>239</v>
      </c>
      <c r="H117" s="1" t="s">
        <v>346</v>
      </c>
      <c r="I117" s="1">
        <v>1</v>
      </c>
    </row>
    <row r="120" spans="2:9" x14ac:dyDescent="0.25">
      <c r="B120" s="1" t="s">
        <v>119</v>
      </c>
      <c r="C120" s="1" t="s">
        <v>357</v>
      </c>
      <c r="D120" s="1" t="s">
        <v>308</v>
      </c>
    </row>
    <row r="121" spans="2:9" x14ac:dyDescent="0.25">
      <c r="D121" s="1" t="s">
        <v>237</v>
      </c>
      <c r="E121" s="1" t="s">
        <v>238</v>
      </c>
    </row>
    <row r="122" spans="2:9" x14ac:dyDescent="0.25">
      <c r="D122" s="1" t="s">
        <v>214</v>
      </c>
      <c r="E122" s="1" t="s">
        <v>215</v>
      </c>
      <c r="G122" s="1" t="s">
        <v>216</v>
      </c>
      <c r="H122" s="1" t="s">
        <v>358</v>
      </c>
      <c r="I122" s="1" t="s">
        <v>332</v>
      </c>
    </row>
    <row r="123" spans="2:9" x14ac:dyDescent="0.25">
      <c r="D123" s="1">
        <v>0</v>
      </c>
      <c r="E123" s="1">
        <v>0</v>
      </c>
      <c r="G123" s="1" t="s">
        <v>217</v>
      </c>
      <c r="H123" s="1" t="s">
        <v>359</v>
      </c>
      <c r="I123" s="1" t="s">
        <v>20</v>
      </c>
    </row>
    <row r="124" spans="2:9" x14ac:dyDescent="0.25">
      <c r="D124" s="1">
        <v>0</v>
      </c>
      <c r="E124" s="1">
        <v>1</v>
      </c>
      <c r="G124" s="1" t="s">
        <v>205</v>
      </c>
      <c r="H124" s="1" t="s">
        <v>360</v>
      </c>
      <c r="I124" s="1" t="s">
        <v>11</v>
      </c>
    </row>
    <row r="125" spans="2:9" x14ac:dyDescent="0.25">
      <c r="D125" s="1">
        <v>1</v>
      </c>
      <c r="E125" s="1">
        <v>0</v>
      </c>
      <c r="G125" s="1" t="s">
        <v>204</v>
      </c>
      <c r="H125" s="1" t="s">
        <v>361</v>
      </c>
      <c r="I125" s="1" t="s">
        <v>18</v>
      </c>
    </row>
    <row r="126" spans="2:9" x14ac:dyDescent="0.25">
      <c r="D126" s="1">
        <v>1</v>
      </c>
      <c r="E126" s="1">
        <v>1</v>
      </c>
      <c r="G126" s="1" t="s">
        <v>218</v>
      </c>
      <c r="H126" s="1" t="s">
        <v>362</v>
      </c>
      <c r="I126" s="1" t="s">
        <v>19</v>
      </c>
    </row>
    <row r="129" spans="2:11" x14ac:dyDescent="0.25">
      <c r="B129" s="1" t="s">
        <v>119</v>
      </c>
      <c r="C129" s="1" t="s">
        <v>363</v>
      </c>
      <c r="D129" s="1" t="s">
        <v>310</v>
      </c>
    </row>
    <row r="130" spans="2:11" x14ac:dyDescent="0.25">
      <c r="C130" s="1" t="s">
        <v>264</v>
      </c>
      <c r="D130" s="1" t="s">
        <v>265</v>
      </c>
      <c r="E130" s="1" t="s">
        <v>266</v>
      </c>
    </row>
    <row r="131" spans="2:11" x14ac:dyDescent="0.25">
      <c r="C131" s="1" t="s">
        <v>229</v>
      </c>
      <c r="D131" s="1" t="s">
        <v>214</v>
      </c>
      <c r="E131" s="1" t="s">
        <v>215</v>
      </c>
      <c r="G131" s="1" t="s">
        <v>216</v>
      </c>
      <c r="H131" s="1" t="s">
        <v>331</v>
      </c>
      <c r="I131" s="1" t="s">
        <v>332</v>
      </c>
    </row>
    <row r="132" spans="2:11" x14ac:dyDescent="0.25">
      <c r="C132" s="1">
        <v>0</v>
      </c>
      <c r="D132" s="1">
        <v>0</v>
      </c>
      <c r="E132" s="1">
        <v>0</v>
      </c>
      <c r="G132" s="1" t="s">
        <v>217</v>
      </c>
      <c r="H132" s="1" t="s">
        <v>364</v>
      </c>
      <c r="I132" s="1" t="s">
        <v>20</v>
      </c>
    </row>
    <row r="133" spans="2:11" x14ac:dyDescent="0.25">
      <c r="C133" s="1">
        <v>0</v>
      </c>
      <c r="D133" s="1">
        <v>0</v>
      </c>
      <c r="E133" s="1">
        <v>1</v>
      </c>
      <c r="G133" s="1" t="s">
        <v>205</v>
      </c>
      <c r="H133" s="1" t="s">
        <v>365</v>
      </c>
      <c r="I133" s="1" t="s">
        <v>18</v>
      </c>
    </row>
    <row r="134" spans="2:11" x14ac:dyDescent="0.25">
      <c r="C134" s="1">
        <v>0</v>
      </c>
      <c r="D134" s="1">
        <v>1</v>
      </c>
      <c r="E134" s="1">
        <v>0</v>
      </c>
      <c r="G134" s="1" t="s">
        <v>204</v>
      </c>
      <c r="H134" s="1" t="s">
        <v>366</v>
      </c>
      <c r="I134" s="1" t="s">
        <v>11</v>
      </c>
    </row>
    <row r="135" spans="2:11" x14ac:dyDescent="0.25">
      <c r="C135" s="1">
        <v>0</v>
      </c>
      <c r="D135" s="1">
        <v>1</v>
      </c>
      <c r="E135" s="1">
        <v>1</v>
      </c>
      <c r="G135" s="1" t="s">
        <v>218</v>
      </c>
      <c r="H135" s="1" t="s">
        <v>367</v>
      </c>
      <c r="I135" s="1" t="s">
        <v>14</v>
      </c>
    </row>
    <row r="136" spans="2:11" x14ac:dyDescent="0.25">
      <c r="C136" s="1">
        <v>1</v>
      </c>
      <c r="D136" s="1">
        <v>0</v>
      </c>
      <c r="E136" s="1">
        <v>0</v>
      </c>
      <c r="G136" s="1" t="s">
        <v>230</v>
      </c>
      <c r="H136" s="1" t="s">
        <v>368</v>
      </c>
      <c r="I136" s="1" t="s">
        <v>19</v>
      </c>
    </row>
    <row r="137" spans="2:11" x14ac:dyDescent="0.25">
      <c r="C137" s="1">
        <v>1</v>
      </c>
      <c r="D137" s="1">
        <v>0</v>
      </c>
      <c r="E137" s="1">
        <v>1</v>
      </c>
      <c r="G137" s="1" t="s">
        <v>239</v>
      </c>
      <c r="H137" s="1" t="s">
        <v>369</v>
      </c>
      <c r="I137" s="1" t="s">
        <v>16</v>
      </c>
    </row>
    <row r="138" spans="2:11" x14ac:dyDescent="0.25">
      <c r="C138" s="1">
        <v>1</v>
      </c>
      <c r="D138" s="1">
        <v>1</v>
      </c>
      <c r="E138" s="1">
        <v>0</v>
      </c>
      <c r="G138" s="1" t="s">
        <v>261</v>
      </c>
      <c r="H138" s="1" t="s">
        <v>50</v>
      </c>
    </row>
    <row r="139" spans="2:11" x14ac:dyDescent="0.25">
      <c r="C139" s="1">
        <v>1</v>
      </c>
      <c r="D139" s="1">
        <v>1</v>
      </c>
      <c r="E139" s="1">
        <v>1</v>
      </c>
      <c r="G139" s="1" t="s">
        <v>262</v>
      </c>
      <c r="H139" s="1" t="s">
        <v>370</v>
      </c>
      <c r="I139" s="1" t="s">
        <v>10</v>
      </c>
    </row>
    <row r="142" spans="2:11" x14ac:dyDescent="0.25">
      <c r="B142" s="1" t="s">
        <v>119</v>
      </c>
      <c r="C142" s="1" t="s">
        <v>371</v>
      </c>
      <c r="D142" s="1" t="s">
        <v>330</v>
      </c>
    </row>
    <row r="143" spans="2:11" x14ac:dyDescent="0.25">
      <c r="C143" s="1" t="s">
        <v>300</v>
      </c>
      <c r="D143" s="1" t="s">
        <v>301</v>
      </c>
      <c r="E143" s="1" t="s">
        <v>302</v>
      </c>
      <c r="F143" s="1" t="s">
        <v>303</v>
      </c>
    </row>
    <row r="144" spans="2:11" x14ac:dyDescent="0.25">
      <c r="C144" s="1" t="s">
        <v>229</v>
      </c>
      <c r="D144" s="1" t="s">
        <v>214</v>
      </c>
      <c r="E144" s="1" t="s">
        <v>215</v>
      </c>
      <c r="F144" s="1" t="s">
        <v>291</v>
      </c>
      <c r="H144" s="1" t="s">
        <v>312</v>
      </c>
      <c r="K144" s="1" t="s">
        <v>332</v>
      </c>
    </row>
    <row r="145" spans="2:11" x14ac:dyDescent="0.25">
      <c r="C145" s="1">
        <v>1</v>
      </c>
      <c r="D145" s="1">
        <v>0</v>
      </c>
      <c r="E145" s="1">
        <v>0</v>
      </c>
      <c r="F145" s="1">
        <v>0</v>
      </c>
      <c r="H145" s="1" t="s">
        <v>217</v>
      </c>
      <c r="I145" s="1" t="s">
        <v>372</v>
      </c>
      <c r="K145" s="1" t="s">
        <v>10</v>
      </c>
    </row>
    <row r="146" spans="2:11" x14ac:dyDescent="0.25">
      <c r="C146" s="1">
        <v>0</v>
      </c>
      <c r="D146" s="1">
        <v>1</v>
      </c>
      <c r="E146" s="1">
        <v>0</v>
      </c>
      <c r="F146" s="1">
        <v>0</v>
      </c>
      <c r="H146" s="1" t="s">
        <v>205</v>
      </c>
      <c r="I146" s="1" t="s">
        <v>373</v>
      </c>
      <c r="K146" s="1" t="s">
        <v>16</v>
      </c>
    </row>
    <row r="147" spans="2:11" x14ac:dyDescent="0.25">
      <c r="C147" s="1">
        <v>0</v>
      </c>
      <c r="D147" s="1">
        <v>0</v>
      </c>
      <c r="E147" s="1">
        <v>1</v>
      </c>
      <c r="F147" s="1">
        <v>0</v>
      </c>
      <c r="H147" s="1" t="s">
        <v>204</v>
      </c>
      <c r="I147" s="1" t="s">
        <v>374</v>
      </c>
      <c r="K147" s="1" t="s">
        <v>14</v>
      </c>
    </row>
    <row r="148" spans="2:11" x14ac:dyDescent="0.25">
      <c r="C148" s="1">
        <v>0</v>
      </c>
      <c r="D148" s="1">
        <v>0</v>
      </c>
      <c r="E148" s="1">
        <v>0</v>
      </c>
      <c r="F148" s="1">
        <v>1</v>
      </c>
      <c r="H148" s="1" t="s">
        <v>218</v>
      </c>
      <c r="I148" s="1" t="s">
        <v>375</v>
      </c>
      <c r="K148" s="1" t="s">
        <v>12</v>
      </c>
    </row>
    <row r="151" spans="2:11" x14ac:dyDescent="0.25">
      <c r="B151" s="1" t="s">
        <v>30</v>
      </c>
      <c r="C151" s="1" t="s">
        <v>376</v>
      </c>
      <c r="D151" s="1" t="s">
        <v>308</v>
      </c>
    </row>
    <row r="152" spans="2:11" x14ac:dyDescent="0.25">
      <c r="D152" s="1" t="s">
        <v>253</v>
      </c>
      <c r="E152" s="1" t="s">
        <v>254</v>
      </c>
    </row>
    <row r="153" spans="2:11" x14ac:dyDescent="0.25">
      <c r="D153" s="1" t="s">
        <v>214</v>
      </c>
      <c r="E153" s="1" t="s">
        <v>215</v>
      </c>
      <c r="G153" s="1" t="s">
        <v>216</v>
      </c>
      <c r="I153" s="1" t="s">
        <v>332</v>
      </c>
    </row>
    <row r="154" spans="2:11" x14ac:dyDescent="0.25">
      <c r="D154" s="1">
        <v>0</v>
      </c>
      <c r="E154" s="1">
        <v>0</v>
      </c>
      <c r="G154" s="1" t="s">
        <v>217</v>
      </c>
      <c r="H154" s="1" t="s">
        <v>77</v>
      </c>
    </row>
    <row r="155" spans="2:11" x14ac:dyDescent="0.25">
      <c r="D155" s="1">
        <v>0</v>
      </c>
      <c r="E155" s="1">
        <v>1</v>
      </c>
      <c r="G155" s="1" t="s">
        <v>205</v>
      </c>
      <c r="H155" s="1" t="s">
        <v>377</v>
      </c>
    </row>
    <row r="156" spans="2:11" x14ac:dyDescent="0.25">
      <c r="D156" s="1">
        <v>1</v>
      </c>
      <c r="E156" s="1">
        <v>0</v>
      </c>
      <c r="G156" s="1" t="s">
        <v>204</v>
      </c>
      <c r="H156" s="1" t="s">
        <v>57</v>
      </c>
    </row>
    <row r="157" spans="2:11" x14ac:dyDescent="0.25">
      <c r="D157" s="1">
        <v>1</v>
      </c>
      <c r="E157" s="1">
        <v>1</v>
      </c>
      <c r="G157" s="1" t="s">
        <v>218</v>
      </c>
      <c r="H157" s="1" t="s">
        <v>119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53579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main</vt:lpstr>
      <vt:lpstr>SKYA21003</vt:lpstr>
      <vt:lpstr>SKY13414-485LF</vt:lpstr>
      <vt:lpstr>SKY13415-485LF</vt:lpstr>
      <vt:lpstr>SKY13416-485LF</vt:lpstr>
      <vt:lpstr>SKY13418-485LF</vt:lpstr>
      <vt:lpstr>HMC544AE</vt:lpstr>
      <vt:lpstr>MASW-008566-TR3000</vt:lpstr>
      <vt:lpstr>Tables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Milan Savic</dc:creator>
  <dc:description/>
  <cp:lastModifiedBy>Milan Savic</cp:lastModifiedBy>
  <cp:revision>86</cp:revision>
  <dcterms:created xsi:type="dcterms:W3CDTF">2019-05-06T14:29:47Z</dcterms:created>
  <dcterms:modified xsi:type="dcterms:W3CDTF">2021-05-21T09:37:33Z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15.0300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